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Roadmap" sheetId="2" state="visible" r:id="rId2"/>
    <sheet xmlns:r="http://schemas.openxmlformats.org/officeDocument/2006/relationships" name="Feature list" sheetId="3" state="visible" r:id="rId3"/>
    <sheet xmlns:r="http://schemas.openxmlformats.org/officeDocument/2006/relationships" name="Visualizations" sheetId="4" state="visible" r:id="rId4"/>
    <sheet xmlns:r="http://schemas.openxmlformats.org/officeDocument/2006/relationships" name="Build phases" sheetId="5" state="visible" r:id="rId5"/>
    <sheet xmlns:r="http://schemas.openxmlformats.org/officeDocument/2006/relationships" name="QA checklist" sheetId="6" state="visible" r:id="rId6"/>
    <sheet xmlns:r="http://schemas.openxmlformats.org/officeDocument/2006/relationships" name="Look and feel" sheetId="7" state="visible" r:id="rId7"/>
    <sheet xmlns:r="http://schemas.openxmlformats.org/officeDocument/2006/relationships" name="Words and states" sheetId="8" state="visible" r:id="rId8"/>
    <sheet xmlns:r="http://schemas.openxmlformats.org/officeDocument/2006/relationships" name="Navigation" sheetId="9" state="visible" r:id="rId9"/>
    <sheet xmlns:r="http://schemas.openxmlformats.org/officeDocument/2006/relationships" name="DMMT check" sheetId="10" state="visible" r:id="rId10"/>
    <sheet xmlns:r="http://schemas.openxmlformats.org/officeDocument/2006/relationships" name="Screens" sheetId="11" state="visible" r:id="rId11"/>
    <sheet xmlns:r="http://schemas.openxmlformats.org/officeDocument/2006/relationships" name="Mockup" sheetId="12" state="visible" r:id="rId12"/>
    <sheet xmlns:r="http://schemas.openxmlformats.org/officeDocument/2006/relationships" name="Staples" sheetId="13" state="visible" r:id="rId13"/>
    <sheet xmlns:r="http://schemas.openxmlformats.org/officeDocument/2006/relationships" name="Rules" sheetId="14" state="visible" r:id="rId14"/>
    <sheet xmlns:r="http://schemas.openxmlformats.org/officeDocument/2006/relationships" name="Rules summary" sheetId="15" state="visible" r:id="rId15"/>
    <sheet xmlns:r="http://schemas.openxmlformats.org/officeDocument/2006/relationships" name="Math" sheetId="16" state="visible" r:id="rId16"/>
    <sheet xmlns:r="http://schemas.openxmlformats.org/officeDocument/2006/relationships" name="Reference data" sheetId="17" state="visible" r:id="rId17"/>
    <sheet xmlns:r="http://schemas.openxmlformats.org/officeDocument/2006/relationships" name="Fields" sheetId="18" state="visible" r:id="rId18"/>
    <sheet xmlns:r="http://schemas.openxmlformats.org/officeDocument/2006/relationships" name="Feature details" sheetId="19" state="visible" r:id="rId19"/>
    <sheet xmlns:r="http://schemas.openxmlformats.org/officeDocument/2006/relationships" name="Tags and layers" sheetId="20" state="visible" r:id="rId20"/>
    <sheet xmlns:r="http://schemas.openxmlformats.org/officeDocument/2006/relationships" name="Demo client" sheetId="21" state="visible" r:id="rId21"/>
    <sheet xmlns:r="http://schemas.openxmlformats.org/officeDocument/2006/relationships" name="Open questions" sheetId="22" state="visible" r:id="rId22"/>
  </sheets>
  <definedNames>
    <definedName name="_xlnm._FilterDatabase" localSheetId="13" hidden="1">'Rules'!$A$3:$K$190</definedName>
    <definedName name="_xlnm._FilterDatabase" localSheetId="17" hidden="1">'Fields'!$A$2:$V$267</definedName>
    <definedName name="_xlnm._FilterDatabase" localSheetId="18" hidden="1">'Feature details'!$A$2:$I$122</definedName>
    <definedName name="_xlnm._FilterDatabase" localSheetId="19" hidden="1">'Tags and layers'!$A$2:$C$29</definedName>
  </definedNames>
  <calcPr calcId="124519" fullCalcOnLoad="1"/>
</workbook>
</file>

<file path=xl/styles.xml><?xml version="1.0" encoding="utf-8"?>
<styleSheet xmlns="http://schemas.openxmlformats.org/spreadsheetml/2006/main">
  <numFmts count="3">
    <numFmt numFmtId="164" formatCode="$#,##0"/>
    <numFmt numFmtId="165" formatCode="0.0"/>
    <numFmt numFmtId="166" formatCode="0.0%"/>
  </numFmts>
  <fonts count="19">
    <font>
      <name val="Calibri"/>
      <family val="2"/>
      <color theme="1"/>
      <sz val="11"/>
      <scheme val="minor"/>
    </font>
    <font>
      <name val="Arial"/>
      <b val="1"/>
      <color rgb="00FFFFFF"/>
      <sz val="14"/>
    </font>
    <font>
      <name val="Arial"/>
      <b val="1"/>
      <color rgb="00FFFFFF"/>
      <sz val="10"/>
    </font>
    <font>
      <name val="Arial"/>
      <color rgb="00000000"/>
      <sz val="10"/>
    </font>
    <font>
      <name val="Arial"/>
      <sz val="10"/>
    </font>
    <font>
      <name val="Arial"/>
      <i val="1"/>
      <sz val="10"/>
    </font>
    <font>
      <name val="Arial"/>
      <b val="1"/>
      <sz val="10"/>
    </font>
    <font>
      <name val="Arial"/>
      <b val="1"/>
      <color rgb="001A56C4"/>
      <sz val="10"/>
    </font>
    <font>
      <name val="Arial"/>
      <color rgb="007A5A00"/>
      <sz val="10"/>
    </font>
    <font>
      <name val="Arial"/>
      <color rgb="00555555"/>
      <sz val="10"/>
    </font>
    <font>
      <name val="Arial"/>
      <b val="1"/>
      <color rgb="00000000"/>
      <sz val="10"/>
    </font>
    <font>
      <name val="Arial"/>
      <color rgb="000F5132"/>
      <sz val="10"/>
    </font>
    <font>
      <name val="Arial"/>
      <color rgb="004A148C"/>
      <sz val="10"/>
    </font>
    <font>
      <name val="Arial"/>
      <b val="1"/>
      <color rgb="00FFFFFF"/>
      <sz val="12"/>
    </font>
    <font>
      <name val="Arial"/>
      <i val="1"/>
      <color rgb="00555555"/>
      <sz val="10"/>
    </font>
    <font>
      <name val="Arial"/>
      <i val="1"/>
      <color rgb="001A56C4"/>
      <sz val="10"/>
    </font>
    <font>
      <name val="Arial"/>
      <color rgb="00444444"/>
      <sz val="9"/>
    </font>
    <font>
      <name val="Arial"/>
      <b val="1"/>
      <color rgb="00FFFFFF"/>
    </font>
    <font>
      <name val="Arial"/>
      <color rgb="000000FF"/>
      <sz val="10"/>
    </font>
  </fonts>
  <fills count="13">
    <fill>
      <patternFill/>
    </fill>
    <fill>
      <patternFill patternType="gray125"/>
    </fill>
    <fill>
      <patternFill patternType="solid">
        <fgColor rgb="000F9D58"/>
      </patternFill>
    </fill>
    <fill>
      <patternFill patternType="solid">
        <fgColor rgb="000B3D91"/>
      </patternFill>
    </fill>
    <fill>
      <patternFill patternType="solid">
        <fgColor rgb="00E6F4EA"/>
      </patternFill>
    </fill>
    <fill>
      <patternFill patternType="solid">
        <fgColor rgb="00FFF9C4"/>
      </patternFill>
    </fill>
    <fill>
      <patternFill patternType="solid">
        <fgColor rgb="00FFFFFF"/>
      </patternFill>
    </fill>
    <fill>
      <patternFill patternType="solid">
        <fgColor rgb="00E8F0FE"/>
      </patternFill>
    </fill>
    <fill>
      <patternFill patternType="solid">
        <fgColor rgb="001A56C4"/>
      </patternFill>
    </fill>
    <fill>
      <patternFill patternType="solid">
        <fgColor rgb="00D2E3FC"/>
      </patternFill>
    </fill>
    <fill>
      <patternFill patternType="solid">
        <fgColor rgb="00FFF4CE"/>
      </patternFill>
    </fill>
    <fill>
      <patternFill patternType="solid">
        <fgColor rgb="00EFEFEF"/>
      </patternFill>
    </fill>
    <fill>
      <patternFill patternType="solid">
        <fgColor rgb="00F3E8FD"/>
      </patternFill>
    </fill>
  </fills>
  <borders count="3">
    <border>
      <left/>
      <right/>
      <top/>
      <bottom/>
      <diagonal/>
    </border>
    <border>
      <bottom style="thin">
        <color rgb="00D9D9D9"/>
      </bottom>
    </border>
    <border>
      <left style="thin">
        <color rgb="009AA0A6"/>
      </left>
      <right style="thin">
        <color rgb="009AA0A6"/>
      </right>
      <top style="thin">
        <color rgb="009AA0A6"/>
      </top>
      <bottom style="thin">
        <color rgb="009AA0A6"/>
      </bottom>
    </border>
  </borders>
  <cellStyleXfs count="1">
    <xf numFmtId="0" fontId="0" fillId="0" borderId="0"/>
  </cellStyleXfs>
  <cellXfs count="48">
    <xf numFmtId="0" fontId="0" fillId="0" borderId="0" pivotButton="0" quotePrefix="0" xfId="0"/>
    <xf numFmtId="0" fontId="1" fillId="2" borderId="0" pivotButton="0" quotePrefix="0" xfId="0"/>
    <xf numFmtId="0" fontId="0" fillId="2" borderId="0" pivotButton="0" quotePrefix="0" xfId="0"/>
    <xf numFmtId="0" fontId="2" fillId="2" borderId="0" applyAlignment="1" pivotButton="0" quotePrefix="0" xfId="0">
      <alignment vertical="center" wrapText="1"/>
    </xf>
    <xf numFmtId="0" fontId="3" fillId="0" borderId="1" applyAlignment="1" pivotButton="0" quotePrefix="0" xfId="0">
      <alignment vertical="top" wrapText="1"/>
    </xf>
    <xf numFmtId="0" fontId="2" fillId="3" borderId="1" applyAlignment="1" pivotButton="0" quotePrefix="0" xfId="0">
      <alignment vertical="top" wrapText="1"/>
    </xf>
    <xf numFmtId="0" fontId="0" fillId="3" borderId="0" pivotButton="0" quotePrefix="0" xfId="0"/>
    <xf numFmtId="0" fontId="3" fillId="4" borderId="1" applyAlignment="1" pivotButton="0" quotePrefix="0" xfId="0">
      <alignment vertical="top" wrapText="1"/>
    </xf>
    <xf numFmtId="0" fontId="3" fillId="5" borderId="1" applyAlignment="1" pivotButton="0" quotePrefix="0" xfId="0">
      <alignment vertical="top" wrapText="1"/>
    </xf>
    <xf numFmtId="0" fontId="2" fillId="2" borderId="0" pivotButton="0" quotePrefix="0" xfId="0"/>
    <xf numFmtId="0" fontId="4" fillId="0" borderId="0" applyAlignment="1" pivotButton="0" quotePrefix="0" xfId="0">
      <alignment vertical="top" wrapText="1"/>
    </xf>
    <xf numFmtId="0" fontId="5" fillId="0" borderId="0" applyAlignment="1" pivotButton="0" quotePrefix="0" xfId="0">
      <alignment vertical="center" wrapText="1"/>
    </xf>
    <xf numFmtId="0" fontId="6" fillId="0" borderId="0" pivotButton="0" quotePrefix="0" xfId="0"/>
    <xf numFmtId="0" fontId="3" fillId="6" borderId="2" applyAlignment="1" pivotButton="0" quotePrefix="0" xfId="0">
      <alignment vertical="center" wrapText="1"/>
    </xf>
    <xf numFmtId="0" fontId="3" fillId="7" borderId="2" applyAlignment="1" pivotButton="0" quotePrefix="0" xfId="0">
      <alignment vertical="center" wrapText="1"/>
    </xf>
    <xf numFmtId="0" fontId="2" fillId="8" borderId="2" applyAlignment="1" pivotButton="0" quotePrefix="0" xfId="0">
      <alignment vertical="center" wrapText="1"/>
    </xf>
    <xf numFmtId="0" fontId="7" fillId="9" borderId="2" applyAlignment="1" pivotButton="0" quotePrefix="0" xfId="0">
      <alignment vertical="center" wrapText="1"/>
    </xf>
    <xf numFmtId="0" fontId="7" fillId="6" borderId="2" applyAlignment="1" pivotButton="0" quotePrefix="0" xfId="0">
      <alignment vertical="center" wrapText="1"/>
    </xf>
    <xf numFmtId="0" fontId="8" fillId="10" borderId="2" applyAlignment="1" pivotButton="0" quotePrefix="0" xfId="0">
      <alignment vertical="center" wrapText="1"/>
    </xf>
    <xf numFmtId="0" fontId="9" fillId="11" borderId="2" applyAlignment="1" pivotButton="0" quotePrefix="0" xfId="0">
      <alignment vertical="center" wrapText="1"/>
    </xf>
    <xf numFmtId="0" fontId="10" fillId="6" borderId="2" applyAlignment="1" pivotButton="0" quotePrefix="0" xfId="0">
      <alignment vertical="center" wrapText="1"/>
    </xf>
    <xf numFmtId="0" fontId="2" fillId="3" borderId="2" applyAlignment="1" pivotButton="0" quotePrefix="0" xfId="0">
      <alignment vertical="center" wrapText="1"/>
    </xf>
    <xf numFmtId="0" fontId="11" fillId="4" borderId="2" applyAlignment="1" pivotButton="0" quotePrefix="0" xfId="0">
      <alignment vertical="center" wrapText="1"/>
    </xf>
    <xf numFmtId="0" fontId="12" fillId="12" borderId="2" applyAlignment="1" pivotButton="0" quotePrefix="0" xfId="0">
      <alignment vertical="center" wrapText="1"/>
    </xf>
    <xf numFmtId="0" fontId="13" fillId="3" borderId="0" pivotButton="0" quotePrefix="0" xfId="0"/>
    <xf numFmtId="0" fontId="6" fillId="4" borderId="0" pivotButton="0" quotePrefix="0" xfId="0"/>
    <xf numFmtId="0" fontId="0" fillId="4" borderId="0" pivotButton="0" quotePrefix="0" xfId="0"/>
    <xf numFmtId="0" fontId="14" fillId="4" borderId="0" pivotButton="0" quotePrefix="0" xfId="0"/>
    <xf numFmtId="0" fontId="9" fillId="0" borderId="0" pivotButton="0" quotePrefix="0" xfId="0"/>
    <xf numFmtId="0" fontId="15" fillId="0" borderId="0" applyAlignment="1" pivotButton="0" quotePrefix="0" xfId="0">
      <alignment vertical="center" wrapText="1"/>
    </xf>
    <xf numFmtId="0" fontId="16" fillId="0" borderId="0" applyAlignment="1" pivotButton="0" quotePrefix="0" xfId="0">
      <alignment vertical="center" wrapText="1"/>
    </xf>
    <xf numFmtId="0" fontId="5" fillId="0" borderId="0" pivotButton="0" quotePrefix="0" xfId="0"/>
    <xf numFmtId="0" fontId="4" fillId="0" borderId="1" applyAlignment="1" pivotButton="0" quotePrefix="0" xfId="0">
      <alignment vertical="top" wrapText="1"/>
    </xf>
    <xf numFmtId="0" fontId="4" fillId="0" borderId="0" pivotButton="0" quotePrefix="0" xfId="0"/>
    <xf numFmtId="1" fontId="18" fillId="0" borderId="0" pivotButton="0" quotePrefix="0" xfId="0"/>
    <xf numFmtId="164" fontId="18" fillId="0" borderId="0" pivotButton="0" quotePrefix="0" xfId="0"/>
    <xf numFmtId="10" fontId="18" fillId="0" borderId="0" pivotButton="0" quotePrefix="0" xfId="0"/>
    <xf numFmtId="164" fontId="4" fillId="0" borderId="0" pivotButton="0" quotePrefix="0" xfId="0"/>
    <xf numFmtId="165" fontId="4" fillId="0" borderId="0" pivotButton="0" quotePrefix="0" xfId="0"/>
    <xf numFmtId="166" fontId="4" fillId="0" borderId="0" pivotButton="0" quotePrefix="0" xfId="0"/>
    <xf numFmtId="1" fontId="4" fillId="0" borderId="0" pivotButton="0" quotePrefix="0" xfId="0"/>
    <xf numFmtId="0" fontId="17" fillId="3" borderId="0" pivotButton="0" quotePrefix="0" xfId="0"/>
    <xf numFmtId="0" fontId="18" fillId="0" borderId="0" pivotButton="0" quotePrefix="0" xfId="0"/>
    <xf numFmtId="0" fontId="18" fillId="5" borderId="0" pivotButton="0" quotePrefix="0" xfId="0"/>
    <xf numFmtId="166" fontId="18" fillId="0" borderId="0" pivotButton="0" quotePrefix="0" xfId="0"/>
    <xf numFmtId="10" fontId="4" fillId="0" borderId="0" pivotButton="0" quotePrefix="0" xfId="0"/>
    <xf numFmtId="165" fontId="4" fillId="0" borderId="0" pivotButton="0" quotePrefix="0" xfId="0"/>
    <xf numFmtId="166"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styles" Target="styles.xml" Id="rId23"/><Relationship Type="http://schemas.openxmlformats.org/officeDocument/2006/relationships/theme" Target="theme/theme1.xml" Id="rId2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5"/>
  <sheetViews>
    <sheetView workbookViewId="0">
      <pane ySplit="2" topLeftCell="A3" activePane="bottomLeft" state="frozen"/>
      <selection pane="bottomLeft" activeCell="A1" sqref="A1"/>
    </sheetView>
  </sheetViews>
  <sheetFormatPr baseColWidth="8" defaultRowHeight="15"/>
  <cols>
    <col width="18" customWidth="1" min="1" max="1"/>
    <col width="34" customWidth="1" min="2" max="2"/>
    <col width="80" customWidth="1" min="3" max="3"/>
  </cols>
  <sheetData>
    <row r="1">
      <c r="A1" s="1" t="inlineStr">
        <is>
          <t>SLAM build spec</t>
        </is>
      </c>
      <c r="B1" s="2" t="n"/>
      <c r="C1" s="2" t="n"/>
    </row>
    <row r="2">
      <c r="A2" s="3" t="inlineStr">
        <is>
          <t>Tab</t>
        </is>
      </c>
      <c r="B2" s="3" t="inlineStr">
        <is>
          <t>What it is</t>
        </is>
      </c>
      <c r="C2" s="3" t="inlineStr">
        <is>
          <t>Use it for</t>
        </is>
      </c>
    </row>
    <row r="3">
      <c r="A3" s="4" t="inlineStr">
        <is>
          <t>Start here</t>
        </is>
      </c>
      <c r="B3" s="4" t="inlineStr">
        <is>
          <t>This page</t>
        </is>
      </c>
      <c r="C3" s="4" t="inlineStr">
        <is>
          <t>What each tab is and the order to read them</t>
        </is>
      </c>
    </row>
    <row r="4">
      <c r="A4" s="4" t="inlineStr">
        <is>
          <t>Roadmap</t>
        </is>
      </c>
      <c r="B4" s="4" t="inlineStr">
        <is>
          <t>Phases 1 to 8</t>
        </is>
      </c>
      <c r="C4" s="4" t="inlineStr">
        <is>
          <t>Where we are (phase 2) and what each later phase holds</t>
        </is>
      </c>
    </row>
    <row r="5">
      <c r="A5" s="4" t="inlineStr">
        <is>
          <t>Feature list</t>
        </is>
      </c>
      <c r="B5" s="4" t="inlineStr">
        <is>
          <t>Every feature, tagged</t>
        </is>
      </c>
      <c r="C5" s="4" t="inlineStr">
        <is>
          <t>Core, Standard, Only SLAM, all 9 YMOYL steps, books/blogs/podcasts, next-level ideas; who each comes from, its time view and phase</t>
        </is>
      </c>
    </row>
    <row r="6">
      <c r="A6" s="4" t="inlineStr">
        <is>
          <t>Visualizations</t>
        </is>
      </c>
      <c r="B6" s="4" t="inlineStr">
        <is>
          <t>Every chart</t>
        </is>
      </c>
      <c r="C6" s="4" t="inlineStr">
        <is>
          <t>What each chart looks like, what it reads, where it lives, and its time view</t>
        </is>
      </c>
    </row>
    <row r="7">
      <c r="A7" s="4" t="inlineStr">
        <is>
          <t>Build phases</t>
        </is>
      </c>
      <c r="B7" s="4" t="inlineStr">
        <is>
          <t>How phase 3 gets built</t>
        </is>
      </c>
      <c r="C7" s="4" t="inlineStr">
        <is>
          <t>12 build steps in dependency order, each with 'done when'</t>
        </is>
      </c>
    </row>
    <row r="8">
      <c r="A8" s="4" t="inlineStr">
        <is>
          <t>QA checklist</t>
        </is>
      </c>
      <c r="B8" s="4" t="inlineStr">
        <is>
          <t>How you'll check each phase</t>
        </is>
      </c>
      <c r="C8" s="4" t="inlineStr">
        <is>
          <t>What you click and what you should see before saying 'next'</t>
        </is>
      </c>
    </row>
    <row r="9">
      <c r="A9" s="4" t="inlineStr">
        <is>
          <t>Look and feel</t>
        </is>
      </c>
      <c r="B9" s="4" t="inlineStr">
        <is>
          <t>Colors, type, spacing, formats</t>
        </is>
      </c>
      <c r="C9" s="4" t="inlineStr">
        <is>
          <t>Exact values so nothing is left to taste. Proposed values marked</t>
        </is>
      </c>
    </row>
    <row r="10">
      <c r="A10" s="4" t="inlineStr">
        <is>
          <t>Words and states</t>
        </is>
      </c>
      <c r="B10" s="4" t="inlineStr">
        <is>
          <t>Tone, empty states, errors</t>
        </is>
      </c>
      <c r="C10" s="4" t="inlineStr">
        <is>
          <t>What each screen says before anything is entered, and every confirmation</t>
        </is>
      </c>
    </row>
    <row r="11">
      <c r="A11" s="4" t="inlineStr">
        <is>
          <t>Navigation</t>
        </is>
      </c>
      <c r="B11" s="4" t="inlineStr">
        <is>
          <t>Where everything lives</t>
        </is>
      </c>
      <c r="C11" s="4" t="inlineStr">
        <is>
          <t>Site map, one home for every thing, click paths for common tasks</t>
        </is>
      </c>
    </row>
    <row r="12">
      <c r="A12" s="4" t="inlineStr">
        <is>
          <t>DMMT check</t>
        </is>
      </c>
      <c r="B12" s="4" t="inlineStr">
        <is>
          <t>Don't Make Me Think audit</t>
        </is>
      </c>
      <c r="C12" s="4" t="inlineStr">
        <is>
          <t>Each Krug principle, how it's applied, what was fixed, what to watch</t>
        </is>
      </c>
    </row>
    <row r="13">
      <c r="A13" s="4" t="inlineStr">
        <is>
          <t>Screens</t>
        </is>
      </c>
      <c r="B13" s="4" t="inlineStr">
        <is>
          <t>The 8 screens</t>
        </is>
      </c>
      <c r="C13" s="4" t="inlineStr">
        <is>
          <t>Purpose, when used, who sees it</t>
        </is>
      </c>
    </row>
    <row r="14">
      <c r="A14" s="4" t="inlineStr">
        <is>
          <t>Mockup</t>
        </is>
      </c>
      <c r="B14" s="4" t="inlineStr">
        <is>
          <t>What each screen looks like</t>
        </is>
      </c>
      <c r="C14" s="4" t="inlineStr">
        <is>
          <t>Cell by cell, left to right, Primary / Secondary / Tertiary</t>
        </is>
      </c>
    </row>
    <row r="15">
      <c r="A15" s="4" t="inlineStr">
        <is>
          <t>Staples</t>
        </is>
      </c>
      <c r="B15" s="4" t="inlineStr">
        <is>
          <t>Pieces built once, used everywhere</t>
        </is>
      </c>
      <c r="C15" s="4" t="inlineStr">
        <is>
          <t>Add button, picker, row, caret, status tag, bulk select and more</t>
        </is>
      </c>
    </row>
    <row r="16">
      <c r="A16" s="4" t="inlineStr">
        <is>
          <t>Rules</t>
        </is>
      </c>
      <c r="B16" s="4" t="inlineStr">
        <is>
          <t>How it behaves</t>
        </is>
      </c>
      <c r="C16" s="4" t="inlineStr">
        <is>
          <t>When X, then Y, otherwise Z. All accepted Oct 28</t>
        </is>
      </c>
    </row>
    <row r="17">
      <c r="A17" s="4" t="inlineStr">
        <is>
          <t>Rules summary</t>
        </is>
      </c>
      <c r="B17" s="4" t="inlineStr">
        <is>
          <t>Rule counts</t>
        </is>
      </c>
      <c r="C17" s="4" t="inlineStr">
        <is>
          <t>Rules per type</t>
        </is>
      </c>
    </row>
    <row r="18">
      <c r="A18" s="4" t="inlineStr">
        <is>
          <t>Math</t>
        </is>
      </c>
      <c r="B18" s="4" t="inlineStr">
        <is>
          <t>Every computed number</t>
        </is>
      </c>
      <c r="C18" s="4" t="inlineStr">
        <is>
          <t>Formula, inputs, what happens when something's missing</t>
        </is>
      </c>
    </row>
    <row r="19">
      <c r="A19" s="4" t="inlineStr">
        <is>
          <t>Reference data</t>
        </is>
      </c>
      <c r="B19" s="4" t="inlineStr">
        <is>
          <t>Presets, limits, rates, lists</t>
        </is>
      </c>
      <c r="C19" s="4" t="inlineStr">
        <is>
          <t>Sourced 2026 figures marked Confirm; your return, inflation and withdrawal presets</t>
        </is>
      </c>
    </row>
    <row r="20">
      <c r="A20" s="4" t="inlineStr">
        <is>
          <t>Fields</t>
        </is>
      </c>
      <c r="B20" s="4" t="inlineStr">
        <is>
          <t>Every input</t>
        </is>
      </c>
      <c r="C20" s="4" t="inlineStr">
        <is>
          <t>Layer, stage, who supplies, weight, data type, allowed values, which screen</t>
        </is>
      </c>
    </row>
    <row r="21">
      <c r="A21" s="4" t="inlineStr">
        <is>
          <t>Feature details</t>
        </is>
      </c>
      <c r="B21" s="4" t="inlineStr">
        <is>
          <t>Build-level detail</t>
        </is>
      </c>
      <c r="C21" s="4" t="inlineStr">
        <is>
          <t>Each feature's layer, scope and which fields it reads</t>
        </is>
      </c>
    </row>
    <row r="22">
      <c r="A22" s="4" t="inlineStr">
        <is>
          <t>Tags and layers</t>
        </is>
      </c>
      <c r="B22" s="4" t="inlineStr">
        <is>
          <t>Definitions</t>
        </is>
      </c>
      <c r="C22" s="4" t="inlineStr">
        <is>
          <t>What every tag value means</t>
        </is>
      </c>
    </row>
    <row r="23">
      <c r="A23" s="4" t="inlineStr">
        <is>
          <t>Demo client</t>
        </is>
      </c>
      <c r="B23" s="4" t="inlineStr">
        <is>
          <t>Made-up numbers (public)</t>
        </is>
      </c>
      <c r="C23" s="4" t="inlineStr">
        <is>
          <t>Fake household with expected outputs as formulas; the math must match it even without your private file</t>
        </is>
      </c>
    </row>
    <row r="24">
      <c r="A24" s="4" t="inlineStr">
        <is>
          <t>Test client</t>
        </is>
      </c>
      <c r="B24" s="4" t="inlineStr">
        <is>
          <t>Separate private file</t>
        </is>
      </c>
      <c r="C24" s="4" t="inlineStr">
        <is>
          <t>SLAM Test Client (private).xlsx stays on your laptop and in a git-ignored folder</t>
        </is>
      </c>
    </row>
    <row r="25">
      <c r="A25" s="4" t="inlineStr">
        <is>
          <t>Open questions</t>
        </is>
      </c>
      <c r="B25" s="4" t="inlineStr">
        <is>
          <t>Still to decide</t>
        </is>
      </c>
      <c r="C25" s="4" t="inlineStr">
        <is>
          <t>Answer in the yellow column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
  <sheetViews>
    <sheetView workbookViewId="0">
      <pane ySplit="2" topLeftCell="A3" activePane="bottomLeft" state="frozen"/>
      <selection pane="bottomLeft" activeCell="A1" sqref="A1"/>
    </sheetView>
  </sheetViews>
  <sheetFormatPr baseColWidth="8" defaultRowHeight="15"/>
  <cols>
    <col width="7" customWidth="1" min="1" max="1"/>
    <col width="22" customWidth="1" min="2" max="2"/>
    <col width="10" customWidth="1" min="3" max="3"/>
    <col width="90" customWidth="1" min="4" max="4"/>
    <col width="44" customWidth="1" min="5" max="5"/>
  </cols>
  <sheetData>
    <row r="1">
      <c r="A1" s="1" t="inlineStr">
        <is>
          <t>Roadmap: we're in phase 2</t>
        </is>
      </c>
      <c r="B1" s="2" t="n"/>
      <c r="C1" s="2" t="n"/>
      <c r="D1" s="2" t="n"/>
      <c r="E1" s="2" t="n"/>
    </row>
    <row r="2">
      <c r="A2" s="3" t="inlineStr">
        <is>
          <t>Phase</t>
        </is>
      </c>
      <c r="B2" s="3" t="inlineStr">
        <is>
          <t>Name</t>
        </is>
      </c>
      <c r="C2" s="3" t="inlineStr">
        <is>
          <t>Status</t>
        </is>
      </c>
      <c r="D2" s="3" t="inlineStr">
        <is>
          <t>What's in it</t>
        </is>
      </c>
      <c r="E2" s="3" t="inlineStr">
        <is>
          <t>Done means</t>
        </is>
      </c>
    </row>
    <row r="3">
      <c r="A3" s="4" t="inlineStr">
        <is>
          <t>1</t>
        </is>
      </c>
      <c r="B3" s="4" t="inlineStr">
        <is>
          <t>Experiments</t>
        </is>
      </c>
      <c r="C3" s="4" t="inlineStr">
        <is>
          <t>Done</t>
        </is>
      </c>
      <c r="D3" s="4" t="inlineStr">
        <is>
          <t>Money Rooms v1 to v3, SPARKS, SLAM in Personalfinance</t>
        </is>
      </c>
      <c r="E3" s="4" t="inlineStr">
        <is>
          <t>Learned what works; left baggage</t>
        </is>
      </c>
    </row>
    <row r="4">
      <c r="A4" s="4" t="inlineStr">
        <is>
          <t>2</t>
        </is>
      </c>
      <c r="B4" s="4" t="inlineStr">
        <is>
          <t>The spec</t>
        </is>
      </c>
      <c r="C4" s="4" t="inlineStr">
        <is>
          <t>Now</t>
        </is>
      </c>
      <c r="D4" s="4" t="inlineStr">
        <is>
          <t>This workbook: every field, rule, formula, screen and feature</t>
        </is>
      </c>
      <c r="E4" s="4" t="inlineStr">
        <is>
          <t>One source of truth, nothing built from old code</t>
        </is>
      </c>
    </row>
    <row r="5">
      <c r="A5" s="4" t="inlineStr">
        <is>
          <t>3</t>
        </is>
      </c>
      <c r="B5" s="4" t="inlineStr">
        <is>
          <t>Rebuild the core</t>
        </is>
      </c>
      <c r="C5" s="4" t="inlineStr">
        <is>
          <t>Next</t>
        </is>
      </c>
      <c r="D5" s="4" t="inlineStr">
        <is>
          <t>Build phases 0 to 11: records, math, staples, navigation, My Money, Spending, Plan, Report, Home, coach tools, dry run. All Core, Standard and 'Now' items</t>
        </is>
      </c>
      <c r="E5" s="4" t="inlineStr">
        <is>
          <t>Ready to run a live session 1 with a client</t>
        </is>
      </c>
    </row>
    <row r="6">
      <c r="A6" s="4" t="inlineStr">
        <is>
          <t>4</t>
        </is>
      </c>
      <c r="B6" s="4" t="inlineStr">
        <is>
          <t>Coaching depth</t>
        </is>
      </c>
      <c r="C6" s="4" t="inlineStr">
        <is>
          <t>Later</t>
        </is>
      </c>
      <c r="D6" s="4" t="inlineStr">
        <is>
          <t>YMOYL exercises, joy per dollar, What Matters, mistake tracker, graceful degradation, small wins, Pareto, statement upload (CSV and PDF), canon checks (Baby Steps, Conscious Spending, PAW/UAW)</t>
        </is>
      </c>
      <c r="E6" s="4" t="inlineStr">
        <is>
          <t>Every monthly money date has something new to look at</t>
        </is>
      </c>
    </row>
    <row r="7">
      <c r="A7" s="4" t="inlineStr">
        <is>
          <t>5</t>
        </is>
      </c>
      <c r="B7" s="4" t="inlineStr">
        <is>
          <t>The future, in depth</t>
        </is>
      </c>
      <c r="C7" s="4" t="inlineStr">
        <is>
          <t>Later</t>
        </is>
      </c>
      <c r="D7" s="4" t="inlineStr">
        <is>
          <t>True FI, decumulation, Roth ladder, 72(t), rule of 55, ACA, Social Security, life simulator, scenarios, Die With Zero, geo arbitrage, house hack, side income tools</t>
        </is>
      </c>
      <c r="E7" s="4" t="inlineStr">
        <is>
          <t>One plan from now through retirement</t>
        </is>
      </c>
    </row>
    <row r="8">
      <c r="A8" s="4" t="inlineStr">
        <is>
          <t>6</t>
        </is>
      </c>
      <c r="B8" s="4" t="inlineStr">
        <is>
          <t>Clients in the app</t>
        </is>
      </c>
      <c r="C8" s="4" t="inlineStr">
        <is>
          <t>Later</t>
        </is>
      </c>
      <c r="D8" s="4" t="inlineStr">
        <is>
          <t>Phone-first client view, client logging between sessions, comments, pre-call link, monthly money date, next-level features</t>
        </is>
      </c>
      <c r="E8" s="4" t="inlineStr">
        <is>
          <t>Clients use it between sessions</t>
        </is>
      </c>
    </row>
    <row r="9">
      <c r="A9" s="4" t="inlineStr">
        <is>
          <t>7</t>
        </is>
      </c>
      <c r="B9" s="4" t="inlineStr">
        <is>
          <t>Delight and community</t>
        </is>
      </c>
      <c r="C9" s="4" t="inlineStr">
        <is>
          <t>Later</t>
        </is>
      </c>
      <c r="D9" s="4" t="inlineStr">
        <is>
          <t>Wrapped, advice translator, shareable milestones, peer comparison, community money date</t>
        </is>
      </c>
      <c r="E9" s="4" t="inlineStr">
        <is>
          <t>People share it</t>
        </is>
      </c>
    </row>
    <row r="10">
      <c r="A10" s="4" t="inlineStr">
        <is>
          <t>8</t>
        </is>
      </c>
      <c r="B10" s="4" t="inlineStr">
        <is>
          <t>Connect</t>
        </is>
      </c>
      <c r="C10" s="4" t="inlineStr">
        <is>
          <t>Someday</t>
        </is>
      </c>
      <c r="D10" s="4" t="inlineStr">
        <is>
          <t>Bank connection, paystub and 1040 readers</t>
        </is>
      </c>
      <c r="E10" s="4" t="inlineStr">
        <is>
          <t>Less typing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27"/>
  <sheetViews>
    <sheetView workbookViewId="0">
      <pane ySplit="2" topLeftCell="A3" activePane="bottomLeft" state="frozen"/>
      <selection pane="bottomLeft" activeCell="A1" sqref="A1"/>
    </sheetView>
  </sheetViews>
  <sheetFormatPr baseColWidth="8" defaultRowHeight="15"/>
  <cols>
    <col width="11" customWidth="1" min="1" max="1"/>
    <col width="32" customWidth="1" min="2" max="2"/>
    <col width="52" customWidth="1" min="3" max="3"/>
    <col width="30" customWidth="1" min="4" max="4"/>
    <col width="30" customWidth="1" min="5" max="5"/>
    <col width="26" customWidth="1" min="6" max="6"/>
    <col width="7" customWidth="1" min="7" max="7"/>
    <col width="16" customWidth="1" min="8" max="8"/>
    <col width="30" customWidth="1" min="9" max="9"/>
  </cols>
  <sheetData>
    <row r="1">
      <c r="A1" s="1" t="inlineStr">
        <is>
          <t>Every feature, tagged by tier, person, source and phase</t>
        </is>
      </c>
      <c r="B1" s="2" t="n"/>
      <c r="C1" s="2" t="n"/>
      <c r="D1" s="2" t="n"/>
      <c r="E1" s="2" t="n"/>
      <c r="F1" s="2" t="n"/>
      <c r="G1" s="2" t="n"/>
      <c r="H1" s="2" t="n"/>
      <c r="I1" s="2" t="n"/>
    </row>
    <row r="2">
      <c r="A2" s="3" t="inlineStr">
        <is>
          <t>Tier</t>
        </is>
      </c>
      <c r="B2" s="3" t="inlineStr">
        <is>
          <t>Feature</t>
        </is>
      </c>
      <c r="C2" s="3" t="inlineStr">
        <is>
          <t>What it does</t>
        </is>
      </c>
      <c r="D2" s="3" t="inlineStr">
        <is>
          <t>Inspired by (people)</t>
        </is>
      </c>
      <c r="E2" s="3" t="inlineStr">
        <is>
          <t>Source</t>
        </is>
      </c>
      <c r="F2" s="3" t="inlineStr">
        <is>
          <t>Time view</t>
        </is>
      </c>
      <c r="G2" s="3" t="inlineStr">
        <is>
          <t>Phase</t>
        </is>
      </c>
      <c r="H2" s="3" t="inlineStr">
        <is>
          <t>In spec?</t>
        </is>
      </c>
      <c r="I2" s="3" t="inlineStr">
        <is>
          <t>Your comments</t>
        </is>
      </c>
    </row>
    <row r="3">
      <c r="A3" s="5" t="inlineStr">
        <is>
          <t>CORE: a budgeting app built from scratch</t>
        </is>
      </c>
      <c r="B3" s="6" t="n"/>
      <c r="C3" s="6" t="n"/>
      <c r="D3" s="6" t="n"/>
      <c r="E3" s="6" t="n"/>
      <c r="F3" s="6" t="n"/>
      <c r="G3" s="6" t="n"/>
      <c r="H3" s="6" t="n"/>
      <c r="I3" s="6" t="n"/>
    </row>
    <row r="4">
      <c r="A4" s="4" t="inlineStr">
        <is>
          <t>Core</t>
        </is>
      </c>
      <c r="B4" s="4" t="inlineStr">
        <is>
          <t>Records for every money item</t>
        </is>
      </c>
      <c r="C4" s="4" t="inlineStr">
        <is>
          <t>One record type behind bills, paychecks, debts, accounts</t>
        </is>
      </c>
      <c r="D4" s="4" t="inlineStr"/>
      <c r="E4" s="4" t="inlineStr">
        <is>
          <t>Every budgeting app</t>
        </is>
      </c>
      <c r="F4" s="4" t="inlineStr">
        <is>
          <t>Every record can show its hours</t>
        </is>
      </c>
      <c r="G4" s="4" t="inlineStr">
        <is>
          <t>3</t>
        </is>
      </c>
      <c r="H4" s="4" t="inlineStr">
        <is>
          <t>Yes</t>
        </is>
      </c>
      <c r="I4" s="4" t="inlineStr"/>
    </row>
    <row r="5">
      <c r="A5" s="4" t="inlineStr">
        <is>
          <t>Core</t>
        </is>
      </c>
      <c r="B5" s="4" t="inlineStr">
        <is>
          <t>Budget with five passes</t>
        </is>
      </c>
      <c r="C5" s="4" t="inlineStr">
        <is>
          <t>Gut, Basics, Rough, Estimate, Actual</t>
        </is>
      </c>
      <c r="D5" s="4" t="inlineStr">
        <is>
          <t>Eli</t>
        </is>
      </c>
      <c r="E5" s="4" t="inlineStr">
        <is>
          <t>SLAM</t>
        </is>
      </c>
      <c r="F5" s="4" t="inlineStr">
        <is>
          <t>Each line in hours of work</t>
        </is>
      </c>
      <c r="G5" s="4" t="inlineStr">
        <is>
          <t>3</t>
        </is>
      </c>
      <c r="H5" s="4" t="inlineStr">
        <is>
          <t>Yes</t>
        </is>
      </c>
      <c r="I5" s="4" t="inlineStr"/>
    </row>
    <row r="6">
      <c r="A6" s="4" t="inlineStr">
        <is>
          <t>Core</t>
        </is>
      </c>
      <c r="B6" s="4" t="inlineStr">
        <is>
          <t>Cash flow calendar</t>
        </is>
      </c>
      <c r="C6" s="4" t="inlineStr">
        <is>
          <t>Day-by-day in and out with a running balance</t>
        </is>
      </c>
      <c r="D6" s="4" t="inlineStr"/>
      <c r="E6" s="4" t="inlineStr">
        <is>
          <t>Every budgeting app</t>
        </is>
      </c>
      <c r="F6" s="4" t="inlineStr">
        <is>
          <t>Hours worked to cover each bill</t>
        </is>
      </c>
      <c r="G6" s="4" t="inlineStr">
        <is>
          <t>3</t>
        </is>
      </c>
      <c r="H6" s="4" t="inlineStr">
        <is>
          <t>Yes</t>
        </is>
      </c>
      <c r="I6" s="4" t="inlineStr"/>
    </row>
    <row r="7">
      <c r="A7" s="4" t="inlineStr">
        <is>
          <t>Core</t>
        </is>
      </c>
      <c r="B7" s="4" t="inlineStr">
        <is>
          <t>Net worth, liquid and total</t>
        </is>
      </c>
      <c r="C7" s="4" t="inlineStr">
        <is>
          <t>Assets minus debts, two ways</t>
        </is>
      </c>
      <c r="D7" s="4" t="inlineStr"/>
      <c r="E7" s="4" t="inlineStr">
        <is>
          <t>Every planning app</t>
        </is>
      </c>
      <c r="F7" s="4" t="inlineStr">
        <is>
          <t>Net worth as months of freedom</t>
        </is>
      </c>
      <c r="G7" s="4" t="inlineStr">
        <is>
          <t>3</t>
        </is>
      </c>
      <c r="H7" s="4" t="inlineStr">
        <is>
          <t>Yes</t>
        </is>
      </c>
      <c r="I7" s="4" t="inlineStr"/>
    </row>
    <row r="8">
      <c r="A8" s="4" t="inlineStr">
        <is>
          <t>Core</t>
        </is>
      </c>
      <c r="B8" s="4" t="inlineStr">
        <is>
          <t>Debt payoff dates and interest</t>
        </is>
      </c>
      <c r="C8" s="4" t="inlineStr">
        <is>
          <t>Months, date, total interest per debt</t>
        </is>
      </c>
      <c r="D8" s="4" t="inlineStr"/>
      <c r="E8" s="4" t="inlineStr">
        <is>
          <t>Every debt app</t>
        </is>
      </c>
      <c r="F8" s="4" t="inlineStr">
        <is>
          <t>Interest as hours of work</t>
        </is>
      </c>
      <c r="G8" s="4" t="inlineStr">
        <is>
          <t>3</t>
        </is>
      </c>
      <c r="H8" s="4" t="inlineStr">
        <is>
          <t>Yes</t>
        </is>
      </c>
      <c r="I8" s="4" t="inlineStr"/>
    </row>
    <row r="9">
      <c r="A9" s="4" t="inlineStr">
        <is>
          <t>Core</t>
        </is>
      </c>
      <c r="B9" s="4" t="inlineStr">
        <is>
          <t>Savings rate</t>
        </is>
      </c>
      <c r="C9" s="4" t="inlineStr">
        <is>
          <t>Take-home headline, gross in Show the math</t>
        </is>
      </c>
      <c r="D9" s="4" t="inlineStr">
        <is>
          <t>Mr. Money Mustache</t>
        </is>
      </c>
      <c r="E9" s="4" t="inlineStr">
        <is>
          <t>MMM blog</t>
        </is>
      </c>
      <c r="F9" s="4" t="inlineStr">
        <is>
          <t>Days of freedom bought per month</t>
        </is>
      </c>
      <c r="G9" s="4" t="inlineStr">
        <is>
          <t>3</t>
        </is>
      </c>
      <c r="H9" s="4" t="inlineStr">
        <is>
          <t>Yes</t>
        </is>
      </c>
      <c r="I9" s="4" t="inlineStr"/>
    </row>
    <row r="10">
      <c r="A10" s="4" t="inlineStr">
        <is>
          <t>Core</t>
        </is>
      </c>
      <c r="B10" s="4" t="inlineStr">
        <is>
          <t>Month-end close</t>
        </is>
      </c>
      <c r="C10" s="4" t="inlineStr">
        <is>
          <t>Actuals vs estimates, misses, carry adjustments</t>
        </is>
      </c>
      <c r="D10" s="4" t="inlineStr"/>
      <c r="E10" s="4" t="inlineStr">
        <is>
          <t>YNAB-style apps</t>
        </is>
      </c>
      <c r="F10" s="4" t="inlineStr"/>
      <c r="G10" s="4" t="inlineStr">
        <is>
          <t>3</t>
        </is>
      </c>
      <c r="H10" s="4" t="inlineStr">
        <is>
          <t>Yes</t>
        </is>
      </c>
      <c r="I10" s="4" t="inlineStr"/>
    </row>
    <row r="11">
      <c r="A11" s="4" t="inlineStr">
        <is>
          <t>Core</t>
        </is>
      </c>
      <c r="B11" s="4" t="inlineStr">
        <is>
          <t>Export, import, undo, autosave</t>
        </is>
      </c>
      <c r="C11" s="4" t="inlineStr">
        <is>
          <t>Never lose work</t>
        </is>
      </c>
      <c r="D11" s="4" t="inlineStr"/>
      <c r="E11" s="4" t="inlineStr"/>
      <c r="F11" s="4" t="inlineStr"/>
      <c r="G11" s="4" t="inlineStr">
        <is>
          <t>3</t>
        </is>
      </c>
      <c r="H11" s="4" t="inlineStr">
        <is>
          <t>Yes</t>
        </is>
      </c>
      <c r="I11" s="4" t="inlineStr"/>
    </row>
    <row r="12">
      <c r="A12" s="5" t="inlineStr">
        <is>
          <t>STANDARD: what the well-known apps have</t>
        </is>
      </c>
      <c r="B12" s="6" t="n"/>
      <c r="C12" s="6" t="n"/>
      <c r="D12" s="6" t="n"/>
      <c r="E12" s="6" t="n"/>
      <c r="F12" s="6" t="n"/>
      <c r="G12" s="6" t="n"/>
      <c r="H12" s="6" t="n"/>
      <c r="I12" s="6" t="n"/>
    </row>
    <row r="13">
      <c r="A13" s="4" t="inlineStr">
        <is>
          <t>Standard</t>
        </is>
      </c>
      <c r="B13" s="4" t="inlineStr">
        <is>
          <t>FI number and FI date</t>
        </is>
      </c>
      <c r="C13" s="4" t="inlineStr">
        <is>
          <t>Spending / withdrawal rate, then a monthly projection</t>
        </is>
      </c>
      <c r="D13" s="4" t="inlineStr">
        <is>
          <t>Trinity Study authors; Mindy Jensen, Scott Trench</t>
        </is>
      </c>
      <c r="E13" s="4" t="inlineStr">
        <is>
          <t>Trinity Study; BiggerPockets Money</t>
        </is>
      </c>
      <c r="F13" s="4" t="inlineStr">
        <is>
          <t>Countdown in months</t>
        </is>
      </c>
      <c r="G13" s="4" t="inlineStr">
        <is>
          <t>3</t>
        </is>
      </c>
      <c r="H13" s="4" t="inlineStr">
        <is>
          <t>Yes</t>
        </is>
      </c>
      <c r="I13" s="4" t="inlineStr"/>
    </row>
    <row r="14">
      <c r="A14" s="4" t="inlineStr">
        <is>
          <t>Standard</t>
        </is>
      </c>
      <c r="B14" s="4" t="inlineStr">
        <is>
          <t>FI milestones (Lean, Coast, Barista, Regular, Fat)</t>
        </is>
      </c>
      <c r="C14" s="4" t="inlineStr">
        <is>
          <t>Dated or condition-based milestones</t>
        </is>
      </c>
      <c r="D14" s="4" t="inlineStr">
        <is>
          <t>FIRE community</t>
        </is>
      </c>
      <c r="E14" s="4" t="inlineStr">
        <is>
          <t>r/financialindependence, ProjectionLab</t>
        </is>
      </c>
      <c r="F14" s="4" t="inlineStr">
        <is>
          <t>Months to each</t>
        </is>
      </c>
      <c r="G14" s="4" t="inlineStr">
        <is>
          <t>3</t>
        </is>
      </c>
      <c r="H14" s="4" t="inlineStr">
        <is>
          <t>Yes</t>
        </is>
      </c>
      <c r="I14" s="4" t="inlineStr"/>
    </row>
    <row r="15">
      <c r="A15" s="4" t="inlineStr">
        <is>
          <t>Standard</t>
        </is>
      </c>
      <c r="B15" s="4" t="inlineStr">
        <is>
          <t>Avalanche and snowball payoff</t>
        </is>
      </c>
      <c r="C15" s="4" t="inlineStr">
        <is>
          <t>Order and simulated payoff with extra payments</t>
        </is>
      </c>
      <c r="D15" s="4" t="inlineStr">
        <is>
          <t>Dave Ramsey (snowball)</t>
        </is>
      </c>
      <c r="E15" s="4" t="inlineStr">
        <is>
          <t>The Total Money Makeover</t>
        </is>
      </c>
      <c r="F15" s="4" t="inlineStr">
        <is>
          <t>Months saved</t>
        </is>
      </c>
      <c r="G15" s="4" t="inlineStr">
        <is>
          <t>3</t>
        </is>
      </c>
      <c r="H15" s="4" t="inlineStr">
        <is>
          <t>Yes</t>
        </is>
      </c>
      <c r="I15" s="4" t="inlineStr"/>
    </row>
    <row r="16">
      <c r="A16" s="4" t="inlineStr">
        <is>
          <t>Standard</t>
        </is>
      </c>
      <c r="B16" s="4" t="inlineStr">
        <is>
          <t>Cash flow Sankey</t>
        </is>
      </c>
      <c r="C16" s="4" t="inlineStr">
        <is>
          <t>Income to spending to saving</t>
        </is>
      </c>
      <c r="D16" s="4" t="inlineStr"/>
      <c r="E16" s="4" t="inlineStr">
        <is>
          <t>ProjectionLab, Monarch</t>
        </is>
      </c>
      <c r="F16" s="4" t="inlineStr">
        <is>
          <t>Hours per branch</t>
        </is>
      </c>
      <c r="G16" s="4" t="inlineStr">
        <is>
          <t>3</t>
        </is>
      </c>
      <c r="H16" s="4" t="inlineStr">
        <is>
          <t>Yes</t>
        </is>
      </c>
      <c r="I16" s="4" t="inlineStr"/>
    </row>
    <row r="17">
      <c r="A17" s="4" t="inlineStr">
        <is>
          <t>Standard</t>
        </is>
      </c>
      <c r="B17" s="4" t="inlineStr">
        <is>
          <t>Category charts</t>
        </is>
      </c>
      <c r="C17" s="4" t="inlineStr">
        <is>
          <t>Where the money went</t>
        </is>
      </c>
      <c r="D17" s="4" t="inlineStr"/>
      <c r="E17" s="4" t="inlineStr">
        <is>
          <t>YNAB, Monarch, Rocket Money</t>
        </is>
      </c>
      <c r="F17" s="4" t="inlineStr">
        <is>
          <t>Hours per category</t>
        </is>
      </c>
      <c r="G17" s="4" t="inlineStr">
        <is>
          <t>3</t>
        </is>
      </c>
      <c r="H17" s="4" t="inlineStr">
        <is>
          <t>Yes</t>
        </is>
      </c>
      <c r="I17" s="4" t="inlineStr"/>
    </row>
    <row r="18">
      <c r="A18" s="4" t="inlineStr">
        <is>
          <t>Standard</t>
        </is>
      </c>
      <c r="B18" s="4" t="inlineStr">
        <is>
          <t>Recurring bills list</t>
        </is>
      </c>
      <c r="C18" s="4" t="inlineStr">
        <is>
          <t>Every repeating charge and date</t>
        </is>
      </c>
      <c r="D18" s="4" t="inlineStr"/>
      <c r="E18" s="4" t="inlineStr">
        <is>
          <t>Rocket Money</t>
        </is>
      </c>
      <c r="F18" s="4" t="inlineStr">
        <is>
          <t>Hours per year per subscription</t>
        </is>
      </c>
      <c r="G18" s="4" t="inlineStr">
        <is>
          <t>3</t>
        </is>
      </c>
      <c r="H18" s="4" t="inlineStr">
        <is>
          <t>Yes</t>
        </is>
      </c>
      <c r="I18" s="4" t="inlineStr"/>
    </row>
    <row r="19">
      <c r="A19" s="4" t="inlineStr">
        <is>
          <t>Standard</t>
        </is>
      </c>
      <c r="B19" s="4" t="inlineStr">
        <is>
          <t>Couples in one household</t>
        </is>
      </c>
      <c r="C19" s="4" t="inlineStr">
        <is>
          <t>Owner on every row, joint</t>
        </is>
      </c>
      <c r="D19" s="4" t="inlineStr"/>
      <c r="E19" s="4" t="inlineStr">
        <is>
          <t>Monarch</t>
        </is>
      </c>
      <c r="F19" s="4" t="inlineStr"/>
      <c r="G19" s="4" t="inlineStr">
        <is>
          <t>3</t>
        </is>
      </c>
      <c r="H19" s="4" t="inlineStr">
        <is>
          <t>Yes</t>
        </is>
      </c>
      <c r="I19" s="4" t="inlineStr"/>
    </row>
    <row r="20">
      <c r="A20" s="4" t="inlineStr">
        <is>
          <t>Standard</t>
        </is>
      </c>
      <c r="B20" s="4" t="inlineStr">
        <is>
          <t>Tax estimate</t>
        </is>
      </c>
      <c r="C20" s="4" t="inlineStr">
        <is>
          <t>Federal plus FICA</t>
        </is>
      </c>
      <c r="D20" s="4" t="inlineStr"/>
      <c r="E20" s="4" t="inlineStr">
        <is>
          <t>Boldin</t>
        </is>
      </c>
      <c r="F20" s="4" t="inlineStr">
        <is>
          <t>Hours worked for taxes</t>
        </is>
      </c>
      <c r="G20" s="4" t="inlineStr">
        <is>
          <t>3</t>
        </is>
      </c>
      <c r="H20" s="4" t="inlineStr">
        <is>
          <t>Yes</t>
        </is>
      </c>
      <c r="I20" s="4" t="inlineStr"/>
    </row>
    <row r="21">
      <c r="A21" s="4" t="inlineStr">
        <is>
          <t>Standard</t>
        </is>
      </c>
      <c r="B21" s="4" t="inlineStr">
        <is>
          <t>Contribution limit tracking</t>
        </is>
      </c>
      <c r="C21" s="4" t="inlineStr">
        <is>
          <t>How much of each limit is used</t>
        </is>
      </c>
      <c r="D21" s="4" t="inlineStr"/>
      <c r="E21" s="4" t="inlineStr">
        <is>
          <t>Boldin, Empower</t>
        </is>
      </c>
      <c r="F21" s="4" t="inlineStr"/>
      <c r="G21" s="4" t="inlineStr">
        <is>
          <t>3</t>
        </is>
      </c>
      <c r="H21" s="4" t="inlineStr">
        <is>
          <t>Yes</t>
        </is>
      </c>
      <c r="I21" s="4" t="inlineStr"/>
    </row>
    <row r="22">
      <c r="A22" s="4" t="inlineStr">
        <is>
          <t>Standard</t>
        </is>
      </c>
      <c r="B22" s="4" t="inlineStr">
        <is>
          <t>Give every dollar a job</t>
        </is>
      </c>
      <c r="C22" s="4" t="inlineStr">
        <is>
          <t>Zero-based plan: income minus planned = $0</t>
        </is>
      </c>
      <c r="D22" s="4" t="inlineStr">
        <is>
          <t>Jesse Mecham</t>
        </is>
      </c>
      <c r="E22" s="4" t="inlineStr">
        <is>
          <t>YNAB</t>
        </is>
      </c>
      <c r="F22" s="4" t="inlineStr"/>
      <c r="G22" s="4" t="inlineStr">
        <is>
          <t>4</t>
        </is>
      </c>
      <c r="H22" s="4" t="inlineStr">
        <is>
          <t>Backlog</t>
        </is>
      </c>
      <c r="I22" s="4" t="inlineStr"/>
    </row>
    <row r="23">
      <c r="A23" s="4" t="inlineStr">
        <is>
          <t>Standard</t>
        </is>
      </c>
      <c r="B23" s="4" t="inlineStr">
        <is>
          <t>Sinking funds</t>
        </is>
      </c>
      <c r="C23" s="4" t="inlineStr">
        <is>
          <t>Save monthly for known yearly costs</t>
        </is>
      </c>
      <c r="D23" s="4" t="inlineStr"/>
      <c r="E23" s="4" t="inlineStr">
        <is>
          <t>YNAB, budgeting community</t>
        </is>
      </c>
      <c r="F23" s="4" t="inlineStr">
        <is>
          <t>Hours per month set aside</t>
        </is>
      </c>
      <c r="G23" s="4" t="inlineStr">
        <is>
          <t>3</t>
        </is>
      </c>
      <c r="H23" s="4" t="inlineStr">
        <is>
          <t>Yes (irregular costs)</t>
        </is>
      </c>
      <c r="I23" s="4" t="inlineStr"/>
    </row>
    <row r="24">
      <c r="A24" s="4" t="inlineStr">
        <is>
          <t>Standard</t>
        </is>
      </c>
      <c r="B24" s="4" t="inlineStr">
        <is>
          <t>Statement upload (CSV and PDF)</t>
        </is>
      </c>
      <c r="C24" s="4" t="inlineStr">
        <is>
          <t>Lines matched to records, duplicates flagged</t>
        </is>
      </c>
      <c r="D24" s="4" t="inlineStr"/>
      <c r="E24" s="4" t="inlineStr">
        <is>
          <t>Most apps</t>
        </is>
      </c>
      <c r="F24" s="4" t="inlineStr"/>
      <c r="G24" s="4" t="inlineStr">
        <is>
          <t>4</t>
        </is>
      </c>
      <c r="H24" s="4" t="inlineStr">
        <is>
          <t>Backlog</t>
        </is>
      </c>
      <c r="I24" s="4" t="inlineStr"/>
    </row>
    <row r="25">
      <c r="A25" s="5" t="inlineStr">
        <is>
          <t>ONLY SLAM: ideas nobody else has</t>
        </is>
      </c>
      <c r="B25" s="6" t="n"/>
      <c r="C25" s="6" t="n"/>
      <c r="D25" s="6" t="n"/>
      <c r="E25" s="6" t="n"/>
      <c r="F25" s="6" t="n"/>
      <c r="G25" s="6" t="n"/>
      <c r="H25" s="6" t="n"/>
      <c r="I25" s="6" t="n"/>
    </row>
    <row r="26">
      <c r="A26" s="4" t="inlineStr">
        <is>
          <t>Only SLAM</t>
        </is>
      </c>
      <c r="B26" s="4" t="inlineStr">
        <is>
          <t>These are big deals</t>
        </is>
      </c>
      <c r="C26" s="4" t="inlineStr">
        <is>
          <t>FI date under every return, inflation and withdrawal preset; names the biggest mover</t>
        </is>
      </c>
      <c r="D26" s="4" t="inlineStr">
        <is>
          <t>Eli</t>
        </is>
      </c>
      <c r="E26" s="4" t="inlineStr">
        <is>
          <t>SLAM</t>
        </is>
      </c>
      <c r="F26" s="4" t="inlineStr">
        <is>
          <t>Years of work each assumption adds</t>
        </is>
      </c>
      <c r="G26" s="4" t="inlineStr">
        <is>
          <t>3</t>
        </is>
      </c>
      <c r="H26" s="4" t="inlineStr">
        <is>
          <t>Yes</t>
        </is>
      </c>
      <c r="I26" s="4" t="inlineStr"/>
    </row>
    <row r="27">
      <c r="A27" s="4" t="inlineStr">
        <is>
          <t>Only SLAM</t>
        </is>
      </c>
      <c r="B27" s="4" t="inlineStr">
        <is>
          <t>Money as time, everywhere</t>
        </is>
      </c>
      <c r="C27" s="4" t="inlineStr">
        <is>
          <t>One toggle: dollars, hours of work, or FI days, on every number</t>
        </is>
      </c>
      <c r="D27" s="4" t="inlineStr">
        <is>
          <t>Vicki Robin, Joe Dominguez; Grant Sabatier</t>
        </is>
      </c>
      <c r="E27" s="4" t="inlineStr">
        <is>
          <t>Your Money or Your Life; Financial Freedom</t>
        </is>
      </c>
      <c r="F27" s="4" t="inlineStr">
        <is>
          <t>This is the time view</t>
        </is>
      </c>
      <c r="G27" s="4" t="inlineStr">
        <is>
          <t>3</t>
        </is>
      </c>
      <c r="H27" s="4" t="inlineStr">
        <is>
          <t>Yes</t>
        </is>
      </c>
      <c r="I27" s="4" t="inlineStr"/>
    </row>
    <row r="28">
      <c r="A28" s="4" t="inlineStr">
        <is>
          <t>Only SLAM</t>
        </is>
      </c>
      <c r="B28" s="4" t="inlineStr">
        <is>
          <t>Stress-weighted payoff</t>
        </is>
      </c>
      <c r="C28" s="4" t="inlineStr">
        <is>
          <t>Order debts by how much they weigh on you, with the extra interest shown</t>
        </is>
      </c>
      <c r="D28" s="4" t="inlineStr">
        <is>
          <t>Eli</t>
        </is>
      </c>
      <c r="E28" s="4" t="inlineStr">
        <is>
          <t>SLAM</t>
        </is>
      </c>
      <c r="F28" s="4" t="inlineStr">
        <is>
          <t>Hours of extra work for peace of mind</t>
        </is>
      </c>
      <c r="G28" s="4" t="inlineStr">
        <is>
          <t>3</t>
        </is>
      </c>
      <c r="H28" s="4" t="inlineStr">
        <is>
          <t>Yes</t>
        </is>
      </c>
      <c r="I28" s="4" t="inlineStr"/>
    </row>
    <row r="29">
      <c r="A29" s="4" t="inlineStr">
        <is>
          <t>Only SLAM</t>
        </is>
      </c>
      <c r="B29" s="4" t="inlineStr">
        <is>
          <t>Gut accuracy score</t>
        </is>
      </c>
      <c r="C29" s="4" t="inlineStr">
        <is>
          <t>How far the client's own guesses were from actual, over time</t>
        </is>
      </c>
      <c r="D29" s="4" t="inlineStr">
        <is>
          <t>Eli</t>
        </is>
      </c>
      <c r="E29" s="4" t="inlineStr">
        <is>
          <t>SLAM</t>
        </is>
      </c>
      <c r="F29" s="4" t="inlineStr"/>
      <c r="G29" s="4" t="inlineStr">
        <is>
          <t>3</t>
        </is>
      </c>
      <c r="H29" s="4" t="inlineStr">
        <is>
          <t>Yes</t>
        </is>
      </c>
      <c r="I29" s="4" t="inlineStr"/>
    </row>
    <row r="30">
      <c r="A30" s="4" t="inlineStr">
        <is>
          <t>Only SLAM</t>
        </is>
      </c>
      <c r="B30" s="4" t="inlineStr">
        <is>
          <t>Amount and timing grid</t>
        </is>
      </c>
      <c r="C30" s="4" t="inlineStr">
        <is>
          <t>Fixed/variable amount x fixed/variable date; different move for each</t>
        </is>
      </c>
      <c r="D30" s="4" t="inlineStr">
        <is>
          <t>Eli</t>
        </is>
      </c>
      <c r="E30" s="4" t="inlineStr">
        <is>
          <t>SLAM</t>
        </is>
      </c>
      <c r="F30" s="4" t="inlineStr"/>
      <c r="G30" s="4" t="inlineStr">
        <is>
          <t>3</t>
        </is>
      </c>
      <c r="H30" s="4" t="inlineStr">
        <is>
          <t>Yes</t>
        </is>
      </c>
      <c r="I30" s="4" t="inlineStr"/>
    </row>
    <row r="31">
      <c r="A31" s="4" t="inlineStr">
        <is>
          <t>Only SLAM</t>
        </is>
      </c>
      <c r="B31" s="4" t="inlineStr">
        <is>
          <t>Rule of 5</t>
        </is>
      </c>
      <c r="C31" s="4" t="inlineStr">
        <is>
          <t>Age / 5 months of savings with the exact monthly add</t>
        </is>
      </c>
      <c r="D31" s="4" t="inlineStr">
        <is>
          <t>Eli</t>
        </is>
      </c>
      <c r="E31" s="4" t="inlineStr">
        <is>
          <t>SLAM</t>
        </is>
      </c>
      <c r="F31" s="4" t="inlineStr">
        <is>
          <t>Months of freedom held</t>
        </is>
      </c>
      <c r="G31" s="4" t="inlineStr">
        <is>
          <t>3</t>
        </is>
      </c>
      <c r="H31" s="4" t="inlineStr">
        <is>
          <t>Yes</t>
        </is>
      </c>
      <c r="I31" s="4" t="inlineStr"/>
    </row>
    <row r="32">
      <c r="A32" s="4" t="inlineStr">
        <is>
          <t>Only SLAM</t>
        </is>
      </c>
      <c r="B32" s="4" t="inlineStr">
        <is>
          <t>Support received</t>
        </is>
      </c>
      <c r="C32" s="4" t="inlineStr">
        <is>
          <t>How much others cover and what happens if it stops</t>
        </is>
      </c>
      <c r="D32" s="4" t="inlineStr">
        <is>
          <t>Eli</t>
        </is>
      </c>
      <c r="E32" s="4" t="inlineStr">
        <is>
          <t>SLAM</t>
        </is>
      </c>
      <c r="F32" s="4" t="inlineStr">
        <is>
          <t>Hours others work for you</t>
        </is>
      </c>
      <c r="G32" s="4" t="inlineStr">
        <is>
          <t>3</t>
        </is>
      </c>
      <c r="H32" s="4" t="inlineStr">
        <is>
          <t>Yes</t>
        </is>
      </c>
      <c r="I32" s="4" t="inlineStr"/>
    </row>
    <row r="33">
      <c r="A33" s="4" t="inlineStr">
        <is>
          <t>Only SLAM</t>
        </is>
      </c>
      <c r="B33" s="4" t="inlineStr">
        <is>
          <t>Maybe money</t>
        </is>
      </c>
      <c r="C33" s="4" t="inlineStr">
        <is>
          <t>Expected income kept out of the balance until it lands</t>
        </is>
      </c>
      <c r="D33" s="4" t="inlineStr">
        <is>
          <t>Eli; Lindsey Swanson, Jessica Goedtel (irregular income planning)</t>
        </is>
      </c>
      <c r="E33" s="4" t="inlineStr">
        <is>
          <t>Sex-worker financial planning</t>
        </is>
      </c>
      <c r="F33" s="4" t="inlineStr"/>
      <c r="G33" s="4" t="inlineStr">
        <is>
          <t>3</t>
        </is>
      </c>
      <c r="H33" s="4" t="inlineStr">
        <is>
          <t>Yes</t>
        </is>
      </c>
      <c r="I33" s="4" t="inlineStr"/>
    </row>
    <row r="34">
      <c r="A34" s="4" t="inlineStr">
        <is>
          <t>Only SLAM</t>
        </is>
      </c>
      <c r="B34" s="4" t="inlineStr">
        <is>
          <t>Wins on the calendar</t>
        </is>
      </c>
      <c r="C34" s="4" t="inlineStr">
        <is>
          <t>Payoffs, milestones, raises as dated chips</t>
        </is>
      </c>
      <c r="D34" s="4" t="inlineStr">
        <is>
          <t>Eli</t>
        </is>
      </c>
      <c r="E34" s="4" t="inlineStr">
        <is>
          <t>SLAM</t>
        </is>
      </c>
      <c r="F34" s="4" t="inlineStr"/>
      <c r="G34" s="4" t="inlineStr">
        <is>
          <t>3</t>
        </is>
      </c>
      <c r="H34" s="4" t="inlineStr">
        <is>
          <t>Yes</t>
        </is>
      </c>
      <c r="I34" s="4" t="inlineStr"/>
    </row>
    <row r="35">
      <c r="A35" s="4" t="inlineStr">
        <is>
          <t>Only SLAM</t>
        </is>
      </c>
      <c r="B35" s="4" t="inlineStr">
        <is>
          <t>Show the math</t>
        </is>
      </c>
      <c r="C35" s="4" t="inlineStr">
        <is>
          <t>Click any computed number to see its formula filled in with the client's numbers</t>
        </is>
      </c>
      <c r="D35" s="4" t="inlineStr">
        <is>
          <t>Eli</t>
        </is>
      </c>
      <c r="E35" s="4" t="inlineStr">
        <is>
          <t>SLAM</t>
        </is>
      </c>
      <c r="F35" s="4" t="inlineStr"/>
      <c r="G35" s="4" t="inlineStr">
        <is>
          <t>3</t>
        </is>
      </c>
      <c r="H35" s="4" t="inlineStr">
        <is>
          <t>Yes</t>
        </is>
      </c>
      <c r="I35" s="4" t="inlineStr"/>
    </row>
    <row r="36">
      <c r="A36" s="4" t="inlineStr">
        <is>
          <t>Only SLAM</t>
        </is>
      </c>
      <c r="B36" s="4" t="inlineStr">
        <is>
          <t>Change since last session</t>
        </is>
      </c>
      <c r="C36" s="4" t="inlineStr">
        <is>
          <t>▲ ▼ differences under key numbers</t>
        </is>
      </c>
      <c r="D36" s="4" t="inlineStr">
        <is>
          <t>Eli</t>
        </is>
      </c>
      <c r="E36" s="4" t="inlineStr">
        <is>
          <t>SLAM</t>
        </is>
      </c>
      <c r="F36" s="4" t="inlineStr"/>
      <c r="G36" s="4" t="inlineStr">
        <is>
          <t>3</t>
        </is>
      </c>
      <c r="H36" s="4" t="inlineStr">
        <is>
          <t>Yes</t>
        </is>
      </c>
      <c r="I36" s="4" t="inlineStr"/>
    </row>
    <row r="37">
      <c r="A37" s="4" t="inlineStr">
        <is>
          <t>Only SLAM</t>
        </is>
      </c>
      <c r="B37" s="4" t="inlineStr">
        <is>
          <t>Live-call keyboard flow</t>
        </is>
      </c>
      <c r="C37" s="4" t="inlineStr">
        <is>
          <t>Tab, Enter for a new row, / for Find, Ctrl+Z</t>
        </is>
      </c>
      <c r="D37" s="4" t="inlineStr">
        <is>
          <t>Eli</t>
        </is>
      </c>
      <c r="E37" s="4" t="inlineStr">
        <is>
          <t>SLAM</t>
        </is>
      </c>
      <c r="F37" s="4" t="inlineStr"/>
      <c r="G37" s="4" t="inlineStr">
        <is>
          <t>3</t>
        </is>
      </c>
      <c r="H37" s="4" t="inlineStr">
        <is>
          <t>Yes</t>
        </is>
      </c>
      <c r="I37" s="4" t="inlineStr"/>
    </row>
    <row r="38">
      <c r="A38" s="4" t="inlineStr">
        <is>
          <t>Only SLAM</t>
        </is>
      </c>
      <c r="B38" s="4" t="inlineStr">
        <is>
          <t>Benefit finder</t>
        </is>
      </c>
      <c r="C38" s="4" t="inlineStr">
        <is>
          <t>Unused employer benefits and their value</t>
        </is>
      </c>
      <c r="D38" s="4" t="inlineStr">
        <is>
          <t>Eli</t>
        </is>
      </c>
      <c r="E38" s="4" t="inlineStr">
        <is>
          <t>SLAM</t>
        </is>
      </c>
      <c r="F38" s="4" t="inlineStr">
        <is>
          <t>Hours of pay left on the table</t>
        </is>
      </c>
      <c r="G38" s="4" t="inlineStr">
        <is>
          <t>3</t>
        </is>
      </c>
      <c r="H38" s="4" t="inlineStr">
        <is>
          <t>Yes</t>
        </is>
      </c>
      <c r="I38" s="4" t="inlineStr"/>
    </row>
    <row r="39">
      <c r="A39" s="4" t="inlineStr">
        <is>
          <t>Only SLAM</t>
        </is>
      </c>
      <c r="B39" s="4" t="inlineStr">
        <is>
          <t>Materiality by your hourly wage</t>
        </is>
      </c>
      <c r="C39" s="4" t="inlineStr">
        <is>
          <t>Hides anything worth less than your time</t>
        </is>
      </c>
      <c r="D39" s="4" t="inlineStr">
        <is>
          <t>Eli (audit thinking)</t>
        </is>
      </c>
      <c r="E39" s="4" t="inlineStr">
        <is>
          <t>SLAM</t>
        </is>
      </c>
      <c r="F39" s="4" t="inlineStr">
        <is>
          <t>Built on the time view</t>
        </is>
      </c>
      <c r="G39" s="4" t="inlineStr">
        <is>
          <t>3</t>
        </is>
      </c>
      <c r="H39" s="4" t="inlineStr">
        <is>
          <t>Yes</t>
        </is>
      </c>
      <c r="I39" s="4" t="inlineStr"/>
    </row>
    <row r="40">
      <c r="A40" s="4" t="inlineStr">
        <is>
          <t>Only SLAM</t>
        </is>
      </c>
      <c r="B40" s="4" t="inlineStr">
        <is>
          <t>Solvers</t>
        </is>
      </c>
      <c r="C40" s="4" t="inlineStr">
        <is>
          <t>What would have to be true to hit FI by an age; payment to beat a promo</t>
        </is>
      </c>
      <c r="D40" s="4" t="inlineStr">
        <is>
          <t>Eli</t>
        </is>
      </c>
      <c r="E40" s="4" t="inlineStr">
        <is>
          <t>SLAM</t>
        </is>
      </c>
      <c r="F40" s="4" t="inlineStr"/>
      <c r="G40" s="4" t="inlineStr">
        <is>
          <t>3</t>
        </is>
      </c>
      <c r="H40" s="4" t="inlineStr">
        <is>
          <t>Yes</t>
        </is>
      </c>
      <c r="I40" s="4" t="inlineStr"/>
    </row>
    <row r="41">
      <c r="A41" s="4" t="inlineStr">
        <is>
          <t>Only SLAM</t>
        </is>
      </c>
      <c r="B41" s="4" t="inlineStr">
        <is>
          <t>Bonus paycheck months</t>
        </is>
      </c>
      <c r="C41" s="4" t="inlineStr">
        <is>
          <t>Flags 3-paycheck months and where that money goes</t>
        </is>
      </c>
      <c r="D41" s="4" t="inlineStr">
        <is>
          <t>Eli</t>
        </is>
      </c>
      <c r="E41" s="4" t="inlineStr">
        <is>
          <t>SLAM</t>
        </is>
      </c>
      <c r="F41" s="4" t="inlineStr"/>
      <c r="G41" s="4" t="inlineStr">
        <is>
          <t>3</t>
        </is>
      </c>
      <c r="H41" s="4" t="inlineStr">
        <is>
          <t>Yes</t>
        </is>
      </c>
      <c r="I41" s="4" t="inlineStr"/>
    </row>
    <row r="42">
      <c r="A42" s="4" t="inlineStr">
        <is>
          <t>Only SLAM</t>
        </is>
      </c>
      <c r="B42" s="4" t="inlineStr">
        <is>
          <t>Mistake cost tracker</t>
        </is>
      </c>
      <c r="C42" s="4" t="inlineStr">
        <is>
          <t>Unavoidable vs mistake; long-term cost and repeats</t>
        </is>
      </c>
      <c r="D42" s="4" t="inlineStr">
        <is>
          <t>Eli</t>
        </is>
      </c>
      <c r="E42" s="4" t="inlineStr">
        <is>
          <t>SLAM</t>
        </is>
      </c>
      <c r="F42" s="4" t="inlineStr">
        <is>
          <t>Hours each mistake cost</t>
        </is>
      </c>
      <c r="G42" s="4" t="inlineStr">
        <is>
          <t>4</t>
        </is>
      </c>
      <c r="H42" s="4" t="inlineStr">
        <is>
          <t>Backlog</t>
        </is>
      </c>
      <c r="I42" s="4" t="inlineStr"/>
    </row>
    <row r="43">
      <c r="A43" s="4" t="inlineStr">
        <is>
          <t>Only SLAM</t>
        </is>
      </c>
      <c r="B43" s="4" t="inlineStr">
        <is>
          <t>Joy per dollar</t>
        </is>
      </c>
      <c r="C43" s="4" t="inlineStr">
        <is>
          <t>Happiness per line, share of joy, joy per dollar</t>
        </is>
      </c>
      <c r="D43" s="4" t="inlineStr">
        <is>
          <t>Eli; Ramit Sethi (rich life)</t>
        </is>
      </c>
      <c r="E43" s="4" t="inlineStr">
        <is>
          <t>SLAM; I Will Teach You to Be Rich</t>
        </is>
      </c>
      <c r="F43" s="4" t="inlineStr">
        <is>
          <t>Joy per hour of work</t>
        </is>
      </c>
      <c r="G43" s="4" t="inlineStr">
        <is>
          <t>4</t>
        </is>
      </c>
      <c r="H43" s="4" t="inlineStr">
        <is>
          <t>Backlog</t>
        </is>
      </c>
      <c r="I43" s="4" t="inlineStr"/>
    </row>
    <row r="44">
      <c r="A44" s="4" t="inlineStr">
        <is>
          <t>Only SLAM</t>
        </is>
      </c>
      <c r="B44" s="4" t="inlineStr">
        <is>
          <t>What Matters</t>
        </is>
      </c>
      <c r="C44" s="4" t="inlineStr">
        <is>
          <t>Ranked priorities with spending tagged to each</t>
        </is>
      </c>
      <c r="D44" s="4" t="inlineStr">
        <is>
          <t>Eli; Alex Hormozi (values episode)</t>
        </is>
      </c>
      <c r="E44" s="4" t="inlineStr">
        <is>
          <t>SLAM</t>
        </is>
      </c>
      <c r="F44" s="4" t="inlineStr">
        <is>
          <t>Hours per priority</t>
        </is>
      </c>
      <c r="G44" s="4" t="inlineStr">
        <is>
          <t>4</t>
        </is>
      </c>
      <c r="H44" s="4" t="inlineStr">
        <is>
          <t>Backlog</t>
        </is>
      </c>
      <c r="I44" s="4" t="inlineStr"/>
    </row>
    <row r="45">
      <c r="A45" s="4" t="inlineStr">
        <is>
          <t>Only SLAM</t>
        </is>
      </c>
      <c r="B45" s="4" t="inlineStr">
        <is>
          <t>Graceful degradation</t>
        </is>
      </c>
      <c r="C45" s="4" t="inlineStr">
        <is>
          <t>Months at full, DRAFTT, FAT, food and housing only</t>
        </is>
      </c>
      <c r="D45" s="4" t="inlineStr">
        <is>
          <t>Eli</t>
        </is>
      </c>
      <c r="E45" s="4" t="inlineStr">
        <is>
          <t>SLAM</t>
        </is>
      </c>
      <c r="F45" s="4" t="inlineStr">
        <is>
          <t>Months at each level</t>
        </is>
      </c>
      <c r="G45" s="4" t="inlineStr">
        <is>
          <t>4</t>
        </is>
      </c>
      <c r="H45" s="4" t="inlineStr">
        <is>
          <t>Backlog</t>
        </is>
      </c>
      <c r="I45" s="4" t="inlineStr"/>
    </row>
    <row r="46">
      <c r="A46" s="4" t="inlineStr">
        <is>
          <t>Only SLAM</t>
        </is>
      </c>
      <c r="B46" s="4" t="inlineStr">
        <is>
          <t>Zombie apocalypse runway</t>
        </is>
      </c>
      <c r="C46" s="4" t="inlineStr">
        <is>
          <t>Your runway vs peers, as a fun scare</t>
        </is>
      </c>
      <c r="D46" s="4" t="inlineStr">
        <is>
          <t>Eli</t>
        </is>
      </c>
      <c r="E46" s="4" t="inlineStr">
        <is>
          <t>SLAM</t>
        </is>
      </c>
      <c r="F46" s="4" t="inlineStr">
        <is>
          <t>Days you'd last</t>
        </is>
      </c>
      <c r="G46" s="4" t="inlineStr">
        <is>
          <t>4</t>
        </is>
      </c>
      <c r="H46" s="4" t="inlineStr">
        <is>
          <t>Backlog</t>
        </is>
      </c>
      <c r="I46" s="4" t="inlineStr"/>
    </row>
    <row r="47">
      <c r="A47" s="4" t="inlineStr">
        <is>
          <t>Only SLAM</t>
        </is>
      </c>
      <c r="B47" s="4" t="inlineStr">
        <is>
          <t>Small wins mini-games</t>
        </is>
      </c>
      <c r="C47" s="4" t="inlineStr">
        <is>
          <t>Batch $100-a-year fixes into quick games</t>
        </is>
      </c>
      <c r="D47" s="4" t="inlineStr">
        <is>
          <t>Eli; Brad Barrett (quick wins)</t>
        </is>
      </c>
      <c r="E47" s="4" t="inlineStr">
        <is>
          <t>SLAM; ChooseFI</t>
        </is>
      </c>
      <c r="F47" s="4" t="inlineStr">
        <is>
          <t>Hours saved per win</t>
        </is>
      </c>
      <c r="G47" s="4" t="inlineStr">
        <is>
          <t>4</t>
        </is>
      </c>
      <c r="H47" s="4" t="inlineStr">
        <is>
          <t>Backlog</t>
        </is>
      </c>
      <c r="I47" s="4" t="inlineStr"/>
    </row>
    <row r="48">
      <c r="A48" s="4" t="inlineStr">
        <is>
          <t>Only SLAM</t>
        </is>
      </c>
      <c r="B48" s="4" t="inlineStr">
        <is>
          <t>Life Pyramid lens</t>
        </is>
      </c>
      <c r="C48" s="4" t="inlineStr">
        <is>
          <t>Maslow pyramid as a bar chart of spending</t>
        </is>
      </c>
      <c r="D48" s="4" t="inlineStr">
        <is>
          <t>Eli</t>
        </is>
      </c>
      <c r="E48" s="4" t="inlineStr">
        <is>
          <t>SLAM</t>
        </is>
      </c>
      <c r="F48" s="4" t="inlineStr"/>
      <c r="G48" s="4" t="inlineStr">
        <is>
          <t>4</t>
        </is>
      </c>
      <c r="H48" s="4" t="inlineStr">
        <is>
          <t>Backlog</t>
        </is>
      </c>
      <c r="I48" s="4" t="inlineStr"/>
    </row>
    <row r="49">
      <c r="A49" s="4" t="inlineStr">
        <is>
          <t>Only SLAM</t>
        </is>
      </c>
      <c r="B49" s="4" t="inlineStr">
        <is>
          <t>Pareto of spending</t>
        </is>
      </c>
      <c r="C49" s="4" t="inlineStr">
        <is>
          <t>The few transactions making most of the spending</t>
        </is>
      </c>
      <c r="D49" s="4" t="inlineStr">
        <is>
          <t>Eli</t>
        </is>
      </c>
      <c r="E49" s="4" t="inlineStr">
        <is>
          <t>SLAM</t>
        </is>
      </c>
      <c r="F49" s="4" t="inlineStr"/>
      <c r="G49" s="4" t="inlineStr">
        <is>
          <t>4</t>
        </is>
      </c>
      <c r="H49" s="4" t="inlineStr">
        <is>
          <t>Backlog</t>
        </is>
      </c>
      <c r="I49" s="4" t="inlineStr"/>
    </row>
    <row r="50">
      <c r="A50" s="4" t="inlineStr">
        <is>
          <t>Only SLAM</t>
        </is>
      </c>
      <c r="B50" s="4" t="inlineStr">
        <is>
          <t>True FI (after tax)</t>
        </is>
      </c>
      <c r="C50" s="4" t="inlineStr">
        <is>
          <t>FI number after withdrawal taxes, a dramatic unlock</t>
        </is>
      </c>
      <c r="D50" s="4" t="inlineStr">
        <is>
          <t>Eli; Jeremy Jacobson (0% tax)</t>
        </is>
      </c>
      <c r="E50" s="4" t="inlineStr">
        <is>
          <t>SLAM; Go Curry Cracker</t>
        </is>
      </c>
      <c r="F50" s="4" t="inlineStr">
        <is>
          <t>Months gained or lost</t>
        </is>
      </c>
      <c r="G50" s="4" t="inlineStr">
        <is>
          <t>5</t>
        </is>
      </c>
      <c r="H50" s="4" t="inlineStr">
        <is>
          <t>Backlog</t>
        </is>
      </c>
      <c r="I50" s="4" t="inlineStr"/>
    </row>
    <row r="51">
      <c r="A51" s="4" t="inlineStr">
        <is>
          <t>Only SLAM</t>
        </is>
      </c>
      <c r="B51" s="4" t="inlineStr">
        <is>
          <t>Life simulator</t>
        </is>
      </c>
      <c r="C51" s="4" t="inlineStr">
        <is>
          <t>Drag life events into order, watch FI move</t>
        </is>
      </c>
      <c r="D51" s="4" t="inlineStr">
        <is>
          <t>Eli</t>
        </is>
      </c>
      <c r="E51" s="4" t="inlineStr">
        <is>
          <t>SLAM</t>
        </is>
      </c>
      <c r="F51" s="4" t="inlineStr">
        <is>
          <t>Years each event costs</t>
        </is>
      </c>
      <c r="G51" s="4" t="inlineStr">
        <is>
          <t>5</t>
        </is>
      </c>
      <c r="H51" s="4" t="inlineStr">
        <is>
          <t>Backlog</t>
        </is>
      </c>
      <c r="I51" s="4" t="inlineStr"/>
    </row>
    <row r="52">
      <c r="A52" s="4" t="inlineStr">
        <is>
          <t>Only SLAM</t>
        </is>
      </c>
      <c r="B52" s="4" t="inlineStr">
        <is>
          <t>Go-go, slow-go, no-go</t>
        </is>
      </c>
      <c r="C52" s="4" t="inlineStr">
        <is>
          <t>Retirement spending by phase</t>
        </is>
      </c>
      <c r="D52" s="4" t="inlineStr">
        <is>
          <t>Eli; Bill Perkins</t>
        </is>
      </c>
      <c r="E52" s="4" t="inlineStr">
        <is>
          <t>SLAM; Die With Zero</t>
        </is>
      </c>
      <c r="F52" s="4" t="inlineStr"/>
      <c r="G52" s="4" t="inlineStr">
        <is>
          <t>5</t>
        </is>
      </c>
      <c r="H52" s="4" t="inlineStr">
        <is>
          <t>Backlog</t>
        </is>
      </c>
      <c r="I52" s="4" t="inlineStr"/>
    </row>
    <row r="53">
      <c r="A53" s="4" t="inlineStr">
        <is>
          <t>Only SLAM</t>
        </is>
      </c>
      <c r="B53" s="4" t="inlineStr">
        <is>
          <t>Advice translator</t>
        </is>
      </c>
      <c r="C53" s="4" t="inlineStr">
        <is>
          <t>What applies to you now, before, and what to unlearn</t>
        </is>
      </c>
      <c r="D53" s="4" t="inlineStr">
        <is>
          <t>Eli</t>
        </is>
      </c>
      <c r="E53" s="4" t="inlineStr">
        <is>
          <t>SLAM</t>
        </is>
      </c>
      <c r="F53" s="4" t="inlineStr"/>
      <c r="G53" s="4" t="inlineStr">
        <is>
          <t>7</t>
        </is>
      </c>
      <c r="H53" s="4" t="inlineStr">
        <is>
          <t>Backlog</t>
        </is>
      </c>
      <c r="I53" s="4" t="inlineStr"/>
    </row>
    <row r="54">
      <c r="A54" s="4" t="inlineStr">
        <is>
          <t>Only SLAM</t>
        </is>
      </c>
      <c r="B54" s="4" t="inlineStr">
        <is>
          <t>Wrapped</t>
        </is>
      </c>
      <c r="C54" s="4" t="inlineStr">
        <is>
          <t>Spotify-style year in review</t>
        </is>
      </c>
      <c r="D54" s="4" t="inlineStr">
        <is>
          <t>Eli</t>
        </is>
      </c>
      <c r="E54" s="4" t="inlineStr">
        <is>
          <t>SLAM</t>
        </is>
      </c>
      <c r="F54" s="4" t="inlineStr">
        <is>
          <t>Hours saved this year</t>
        </is>
      </c>
      <c r="G54" s="4" t="inlineStr">
        <is>
          <t>7</t>
        </is>
      </c>
      <c r="H54" s="4" t="inlineStr">
        <is>
          <t>Backlog</t>
        </is>
      </c>
      <c r="I54" s="4" t="inlineStr"/>
    </row>
    <row r="55">
      <c r="A55" s="5" t="inlineStr">
        <is>
          <t>YOUR MONEY OR YOUR LIFE: all nine steps</t>
        </is>
      </c>
      <c r="B55" s="6" t="n"/>
      <c r="C55" s="6" t="n"/>
      <c r="D55" s="6" t="n"/>
      <c r="E55" s="6" t="n"/>
      <c r="F55" s="6" t="n"/>
      <c r="G55" s="6" t="n"/>
      <c r="H55" s="6" t="n"/>
      <c r="I55" s="6" t="n"/>
    </row>
    <row r="56">
      <c r="A56" s="4" t="inlineStr">
        <is>
          <t>YMOYL</t>
        </is>
      </c>
      <c r="B56" s="4" t="inlineStr">
        <is>
          <t>Step 1a: Lifetime earnings</t>
        </is>
      </c>
      <c r="C56" s="4" t="inlineStr">
        <is>
          <t>Add up every dollar earned since your first job</t>
        </is>
      </c>
      <c r="D56" s="4" t="inlineStr">
        <is>
          <t>Vicki Robin, Joe Dominguez</t>
        </is>
      </c>
      <c r="E56" s="4" t="inlineStr">
        <is>
          <t>Your Money or Your Life, step 1</t>
        </is>
      </c>
      <c r="F56" s="4" t="inlineStr">
        <is>
          <t>Total hours of life traded</t>
        </is>
      </c>
      <c r="G56" s="4" t="inlineStr">
        <is>
          <t>4</t>
        </is>
      </c>
      <c r="H56" s="4" t="inlineStr">
        <is>
          <t>No</t>
        </is>
      </c>
      <c r="I56" s="4" t="inlineStr"/>
    </row>
    <row r="57">
      <c r="A57" s="4" t="inlineStr">
        <is>
          <t>YMOYL</t>
        </is>
      </c>
      <c r="B57" s="4" t="inlineStr">
        <is>
          <t>Step 1b: What do I have to show for it</t>
        </is>
      </c>
      <c r="C57" s="4" t="inlineStr">
        <is>
          <t>Personal balance sheet of everything you own</t>
        </is>
      </c>
      <c r="D57" s="4" t="inlineStr">
        <is>
          <t>Vicki Robin, Joe Dominguez</t>
        </is>
      </c>
      <c r="E57" s="4" t="inlineStr">
        <is>
          <t>YMOYL step 1</t>
        </is>
      </c>
      <c r="F57" s="4" t="inlineStr"/>
      <c r="G57" s="4" t="inlineStr">
        <is>
          <t>3</t>
        </is>
      </c>
      <c r="H57" s="4" t="inlineStr">
        <is>
          <t>Partly (net worth)</t>
        </is>
      </c>
      <c r="I57" s="4" t="inlineStr"/>
    </row>
    <row r="58">
      <c r="A58" s="4" t="inlineStr">
        <is>
          <t>YMOYL</t>
        </is>
      </c>
      <c r="B58" s="4" t="inlineStr">
        <is>
          <t>Step 2a: Real hourly wage (life energy)</t>
        </is>
      </c>
      <c r="C58" s="4" t="inlineStr">
        <is>
          <t>Take-home minus work costs, divided by all job hours including commute and recovery</t>
        </is>
      </c>
      <c r="D58" s="4" t="inlineStr">
        <is>
          <t>Vicki Robin, Joe Dominguez</t>
        </is>
      </c>
      <c r="E58" s="4" t="inlineStr">
        <is>
          <t>YMOYL step 2</t>
        </is>
      </c>
      <c r="F58" s="4" t="inlineStr">
        <is>
          <t>The base of every time view</t>
        </is>
      </c>
      <c r="G58" s="4" t="inlineStr">
        <is>
          <t>3</t>
        </is>
      </c>
      <c r="H58" s="4" t="inlineStr">
        <is>
          <t>Yes</t>
        </is>
      </c>
      <c r="I58" s="4" t="inlineStr"/>
    </row>
    <row r="59">
      <c r="A59" s="4" t="inlineStr">
        <is>
          <t>YMOYL</t>
        </is>
      </c>
      <c r="B59" s="4" t="inlineStr">
        <is>
          <t>Step 2b: Track every cent</t>
        </is>
      </c>
      <c r="C59" s="4" t="inlineStr">
        <is>
          <t>Log every dollar in and out</t>
        </is>
      </c>
      <c r="D59" s="4" t="inlineStr">
        <is>
          <t>Vicki Robin, Joe Dominguez</t>
        </is>
      </c>
      <c r="E59" s="4" t="inlineStr">
        <is>
          <t>YMOYL step 2</t>
        </is>
      </c>
      <c r="F59" s="4" t="inlineStr"/>
      <c r="G59" s="4" t="inlineStr">
        <is>
          <t>3</t>
        </is>
      </c>
      <c r="H59" s="4" t="inlineStr">
        <is>
          <t>Yes (calendar)</t>
        </is>
      </c>
      <c r="I59" s="4" t="inlineStr"/>
    </row>
    <row r="60">
      <c r="A60" s="4" t="inlineStr">
        <is>
          <t>YMOYL</t>
        </is>
      </c>
      <c r="B60" s="4" t="inlineStr">
        <is>
          <t>Step 3: Monthly tabulation in life energy</t>
        </is>
      </c>
      <c r="C60" s="4" t="inlineStr">
        <is>
          <t>Monthly categories converted into hours of life</t>
        </is>
      </c>
      <c r="D60" s="4" t="inlineStr">
        <is>
          <t>Vicki Robin, Joe Dominguez</t>
        </is>
      </c>
      <c r="E60" s="4" t="inlineStr">
        <is>
          <t>YMOYL step 3</t>
        </is>
      </c>
      <c r="F60" s="4" t="inlineStr">
        <is>
          <t>Every category in hours</t>
        </is>
      </c>
      <c r="G60" s="4" t="inlineStr">
        <is>
          <t>3</t>
        </is>
      </c>
      <c r="H60" s="4" t="inlineStr">
        <is>
          <t>Partly</t>
        </is>
      </c>
      <c r="I60" s="4" t="inlineStr"/>
    </row>
    <row r="61">
      <c r="A61" s="4" t="inlineStr">
        <is>
          <t>YMOYL</t>
        </is>
      </c>
      <c r="B61" s="4" t="inlineStr">
        <is>
          <t>Step 4: The three questions</t>
        </is>
      </c>
      <c r="C61" s="4" t="inlineStr">
        <is>
          <t>Per category: fulfillment? aligned with values? would it change without a job? Mark +, -, 0</t>
        </is>
      </c>
      <c r="D61" s="4" t="inlineStr">
        <is>
          <t>Vicki Robin, Joe Dominguez</t>
        </is>
      </c>
      <c r="E61" s="4" t="inlineStr">
        <is>
          <t>YMOYL step 4</t>
        </is>
      </c>
      <c r="F61" s="4" t="inlineStr"/>
      <c r="G61" s="4" t="inlineStr">
        <is>
          <t>4</t>
        </is>
      </c>
      <c r="H61" s="4" t="inlineStr">
        <is>
          <t>No</t>
        </is>
      </c>
      <c r="I61" s="4" t="inlineStr"/>
    </row>
    <row r="62">
      <c r="A62" s="4" t="inlineStr">
        <is>
          <t>YMOYL</t>
        </is>
      </c>
      <c r="B62" s="4" t="inlineStr">
        <is>
          <t>Step 5: Wall chart</t>
        </is>
      </c>
      <c r="C62" s="4" t="inlineStr">
        <is>
          <t>Monthly income and spending lines over years</t>
        </is>
      </c>
      <c r="D62" s="4" t="inlineStr">
        <is>
          <t>Vicki Robin, Joe Dominguez</t>
        </is>
      </c>
      <c r="E62" s="4" t="inlineStr">
        <is>
          <t>YMOYL step 5</t>
        </is>
      </c>
      <c r="F62" s="4" t="inlineStr"/>
      <c r="G62" s="4" t="inlineStr">
        <is>
          <t>4</t>
        </is>
      </c>
      <c r="H62" s="4" t="inlineStr">
        <is>
          <t>No</t>
        </is>
      </c>
      <c r="I62" s="4" t="inlineStr"/>
    </row>
    <row r="63">
      <c r="A63" s="4" t="inlineStr">
        <is>
          <t>YMOYL</t>
        </is>
      </c>
      <c r="B63" s="4" t="inlineStr">
        <is>
          <t>Step 6: Lower spending</t>
        </is>
      </c>
      <c r="C63" s="4" t="inlineStr">
        <is>
          <t>Ideas for each minus category, tied to the three questions</t>
        </is>
      </c>
      <c r="D63" s="4" t="inlineStr">
        <is>
          <t>Vicki Robin, Joe Dominguez</t>
        </is>
      </c>
      <c r="E63" s="4" t="inlineStr">
        <is>
          <t>YMOYL step 6</t>
        </is>
      </c>
      <c r="F63" s="4" t="inlineStr">
        <is>
          <t>Hours freed</t>
        </is>
      </c>
      <c r="G63" s="4" t="inlineStr">
        <is>
          <t>4</t>
        </is>
      </c>
      <c r="H63" s="4" t="inlineStr">
        <is>
          <t>No</t>
        </is>
      </c>
      <c r="I63" s="4" t="inlineStr"/>
    </row>
    <row r="64">
      <c r="A64" s="4" t="inlineStr">
        <is>
          <t>YMOYL</t>
        </is>
      </c>
      <c r="B64" s="4" t="inlineStr">
        <is>
          <t>Step 7: Raise income</t>
        </is>
      </c>
      <c r="C64" s="4" t="inlineStr">
        <is>
          <t>Value your life energy; income ideas by hour</t>
        </is>
      </c>
      <c r="D64" s="4" t="inlineStr">
        <is>
          <t>Vicki Robin, Joe Dominguez</t>
        </is>
      </c>
      <c r="E64" s="4" t="inlineStr">
        <is>
          <t>YMOYL step 7</t>
        </is>
      </c>
      <c r="F64" s="4" t="inlineStr"/>
      <c r="G64" s="4" t="inlineStr">
        <is>
          <t>4</t>
        </is>
      </c>
      <c r="H64" s="4" t="inlineStr">
        <is>
          <t>No</t>
        </is>
      </c>
      <c r="I64" s="4" t="inlineStr"/>
    </row>
    <row r="65">
      <c r="A65" s="4" t="inlineStr">
        <is>
          <t>YMOYL</t>
        </is>
      </c>
      <c r="B65" s="4" t="inlineStr">
        <is>
          <t>Step 8: Crossover point</t>
        </is>
      </c>
      <c r="C65" s="4" t="inlineStr">
        <is>
          <t>Monthly investment income line meets monthly spending line</t>
        </is>
      </c>
      <c r="D65" s="4" t="inlineStr">
        <is>
          <t>Vicki Robin, Joe Dominguez</t>
        </is>
      </c>
      <c r="E65" s="4" t="inlineStr">
        <is>
          <t>YMOYL step 8</t>
        </is>
      </c>
      <c r="F65" s="4" t="inlineStr"/>
      <c r="G65" s="4" t="inlineStr">
        <is>
          <t>4</t>
        </is>
      </c>
      <c r="H65" s="4" t="inlineStr">
        <is>
          <t>No</t>
        </is>
      </c>
      <c r="I65" s="4" t="inlineStr"/>
    </row>
    <row r="66">
      <c r="A66" s="4" t="inlineStr">
        <is>
          <t>YMOYL</t>
        </is>
      </c>
      <c r="B66" s="4" t="inlineStr">
        <is>
          <t>Step 9: Managing your finances</t>
        </is>
      </c>
      <c r="C66" s="4" t="inlineStr">
        <is>
          <t>Steady safe income from capital</t>
        </is>
      </c>
      <c r="D66" s="4" t="inlineStr">
        <is>
          <t>Vicki Robin, Joe Dominguez</t>
        </is>
      </c>
      <c r="E66" s="4" t="inlineStr">
        <is>
          <t>YMOYL step 9</t>
        </is>
      </c>
      <c r="F66" s="4" t="inlineStr"/>
      <c r="G66" s="4" t="inlineStr">
        <is>
          <t>5</t>
        </is>
      </c>
      <c r="H66" s="4" t="inlineStr">
        <is>
          <t>No</t>
        </is>
      </c>
      <c r="I66" s="4" t="inlineStr"/>
    </row>
    <row r="67">
      <c r="A67" s="4" t="inlineStr">
        <is>
          <t>YMOYL</t>
        </is>
      </c>
      <c r="B67" s="4" t="inlineStr">
        <is>
          <t>Fulfillment curve and 'enough'</t>
        </is>
      </c>
      <c r="C67" s="4" t="inlineStr">
        <is>
          <t>Where each category sits on the curve: survival, comforts, luxuries, enough</t>
        </is>
      </c>
      <c r="D67" s="4" t="inlineStr">
        <is>
          <t>Vicki Robin, Joe Dominguez</t>
        </is>
      </c>
      <c r="E67" s="4" t="inlineStr">
        <is>
          <t>YMOYL</t>
        </is>
      </c>
      <c r="F67" s="4" t="inlineStr"/>
      <c r="G67" s="4" t="inlineStr">
        <is>
          <t>4</t>
        </is>
      </c>
      <c r="H67" s="4" t="inlineStr">
        <is>
          <t>No</t>
        </is>
      </c>
      <c r="I67" s="4" t="inlineStr"/>
    </row>
    <row r="68">
      <c r="A68" s="5" t="inlineStr">
        <is>
          <t>FROM THE BOOKS, BLOGS AND PODCASTS</t>
        </is>
      </c>
      <c r="B68" s="6" t="n"/>
      <c r="C68" s="6" t="n"/>
      <c r="D68" s="6" t="n"/>
      <c r="E68" s="6" t="n"/>
      <c r="F68" s="6" t="n"/>
      <c r="G68" s="6" t="n"/>
      <c r="H68" s="6" t="n"/>
      <c r="I68" s="6" t="n"/>
    </row>
    <row r="69">
      <c r="A69" s="4" t="inlineStr">
        <is>
          <t>Canon</t>
        </is>
      </c>
      <c r="B69" s="4" t="inlineStr">
        <is>
          <t>Shockingly Simple Math</t>
        </is>
      </c>
      <c r="C69" s="4" t="inlineStr">
        <is>
          <t>Savings rate to years to FI, on your own numbers</t>
        </is>
      </c>
      <c r="D69" s="4" t="inlineStr">
        <is>
          <t>Mr. Money Mustache</t>
        </is>
      </c>
      <c r="E69" s="4" t="inlineStr">
        <is>
          <t>MMM blog</t>
        </is>
      </c>
      <c r="F69" s="4" t="inlineStr">
        <is>
          <t>Years to FI</t>
        </is>
      </c>
      <c r="G69" s="4" t="inlineStr">
        <is>
          <t>3</t>
        </is>
      </c>
      <c r="H69" s="4" t="inlineStr">
        <is>
          <t>Partly (built before)</t>
        </is>
      </c>
      <c r="I69" s="4" t="inlineStr"/>
    </row>
    <row r="70">
      <c r="A70" s="4" t="inlineStr">
        <is>
          <t>Canon</t>
        </is>
      </c>
      <c r="B70" s="4" t="inlineStr">
        <is>
          <t>Car and commute cost check</t>
        </is>
      </c>
      <c r="C70" s="4" t="inlineStr">
        <is>
          <t>True cost of a car and a long commute</t>
        </is>
      </c>
      <c r="D70" s="4" t="inlineStr">
        <is>
          <t>Mr. Money Mustache</t>
        </is>
      </c>
      <c r="E70" s="4" t="inlineStr">
        <is>
          <t>MMM blog</t>
        </is>
      </c>
      <c r="F70" s="4" t="inlineStr">
        <is>
          <t>Hours per year driving and paying</t>
        </is>
      </c>
      <c r="G70" s="4" t="inlineStr">
        <is>
          <t>4</t>
        </is>
      </c>
      <c r="H70" s="4" t="inlineStr">
        <is>
          <t>No</t>
        </is>
      </c>
      <c r="I70" s="4" t="inlineStr"/>
    </row>
    <row r="71">
      <c r="A71" s="4" t="inlineStr">
        <is>
          <t>Canon</t>
        </is>
      </c>
      <c r="B71" s="4" t="inlineStr">
        <is>
          <t>F-You money meter</t>
        </is>
      </c>
      <c r="C71" s="4" t="inlineStr">
        <is>
          <t>Months you could walk away from a job</t>
        </is>
      </c>
      <c r="D71" s="4" t="inlineStr">
        <is>
          <t>JL Collins</t>
        </is>
      </c>
      <c r="E71" s="4" t="inlineStr">
        <is>
          <t>The Simple Path to Wealth</t>
        </is>
      </c>
      <c r="F71" s="4" t="inlineStr">
        <is>
          <t>Months of freedom</t>
        </is>
      </c>
      <c r="G71" s="4" t="inlineStr">
        <is>
          <t>3</t>
        </is>
      </c>
      <c r="H71" s="4" t="inlineStr">
        <is>
          <t>Partly (runway)</t>
        </is>
      </c>
      <c r="I71" s="4" t="inlineStr"/>
    </row>
    <row r="72">
      <c r="A72" s="4" t="inlineStr">
        <is>
          <t>Canon</t>
        </is>
      </c>
      <c r="B72" s="4" t="inlineStr">
        <is>
          <t>Accumulate vs preserve stage</t>
        </is>
      </c>
      <c r="C72" s="4" t="inlineStr">
        <is>
          <t>Which stage you're in and the matching mix</t>
        </is>
      </c>
      <c r="D72" s="4" t="inlineStr">
        <is>
          <t>JL Collins</t>
        </is>
      </c>
      <c r="E72" s="4" t="inlineStr">
        <is>
          <t>The Simple Path to Wealth</t>
        </is>
      </c>
      <c r="F72" s="4" t="inlineStr"/>
      <c r="G72" s="4" t="inlineStr">
        <is>
          <t>5</t>
        </is>
      </c>
      <c r="H72" s="4" t="inlineStr">
        <is>
          <t>No</t>
        </is>
      </c>
      <c r="I72" s="4" t="inlineStr"/>
    </row>
    <row r="73">
      <c r="A73" s="4" t="inlineStr">
        <is>
          <t>Canon</t>
        </is>
      </c>
      <c r="B73" s="4" t="inlineStr">
        <is>
          <t>Three-fund portfolio check</t>
        </is>
      </c>
      <c r="C73" s="4" t="inlineStr">
        <is>
          <t>Allocation vs a simple three-fund mix</t>
        </is>
      </c>
      <c r="D73" s="4" t="inlineStr">
        <is>
          <t>Taylor Larimore</t>
        </is>
      </c>
      <c r="E73" s="4" t="inlineStr">
        <is>
          <t>The Bogleheads' Guide to the Three-Fund Portfolio</t>
        </is>
      </c>
      <c r="F73" s="4" t="inlineStr"/>
      <c r="G73" s="4" t="inlineStr">
        <is>
          <t>5</t>
        </is>
      </c>
      <c r="H73" s="4" t="inlineStr">
        <is>
          <t>No</t>
        </is>
      </c>
      <c r="I73" s="4" t="inlineStr"/>
    </row>
    <row r="74">
      <c r="A74" s="4" t="inlineStr">
        <is>
          <t>Canon</t>
        </is>
      </c>
      <c r="B74" s="4" t="inlineStr">
        <is>
          <t>Time buckets</t>
        </is>
      </c>
      <c r="C74" s="4" t="inlineStr">
        <is>
          <t>Plan experiences by life stage</t>
        </is>
      </c>
      <c r="D74" s="4" t="inlineStr">
        <is>
          <t>Bill Perkins</t>
        </is>
      </c>
      <c r="E74" s="4" t="inlineStr">
        <is>
          <t>Die With Zero</t>
        </is>
      </c>
      <c r="F74" s="4" t="inlineStr"/>
      <c r="G74" s="4" t="inlineStr">
        <is>
          <t>5</t>
        </is>
      </c>
      <c r="H74" s="4" t="inlineStr">
        <is>
          <t>No</t>
        </is>
      </c>
      <c r="I74" s="4" t="inlineStr"/>
    </row>
    <row r="75">
      <c r="A75" s="4" t="inlineStr">
        <is>
          <t>Canon</t>
        </is>
      </c>
      <c r="B75" s="4" t="inlineStr">
        <is>
          <t>Memory dividends</t>
        </is>
      </c>
      <c r="C75" s="4" t="inlineStr">
        <is>
          <t>Experiences valued by the memories they pay back</t>
        </is>
      </c>
      <c r="D75" s="4" t="inlineStr">
        <is>
          <t>Bill Perkins</t>
        </is>
      </c>
      <c r="E75" s="4" t="inlineStr">
        <is>
          <t>Die With Zero</t>
        </is>
      </c>
      <c r="F75" s="4" t="inlineStr"/>
      <c r="G75" s="4" t="inlineStr">
        <is>
          <t>5</t>
        </is>
      </c>
      <c r="H75" s="4" t="inlineStr">
        <is>
          <t>No (old calculator idea)</t>
        </is>
      </c>
      <c r="I75" s="4" t="inlineStr"/>
    </row>
    <row r="76">
      <c r="A76" s="4" t="inlineStr">
        <is>
          <t>Canon</t>
        </is>
      </c>
      <c r="B76" s="4" t="inlineStr">
        <is>
          <t>Net worth peak</t>
        </is>
      </c>
      <c r="C76" s="4" t="inlineStr">
        <is>
          <t>When spending down should start</t>
        </is>
      </c>
      <c r="D76" s="4" t="inlineStr">
        <is>
          <t>Bill Perkins</t>
        </is>
      </c>
      <c r="E76" s="4" t="inlineStr">
        <is>
          <t>Die With Zero</t>
        </is>
      </c>
      <c r="F76" s="4" t="inlineStr"/>
      <c r="G76" s="4" t="inlineStr">
        <is>
          <t>5</t>
        </is>
      </c>
      <c r="H76" s="4" t="inlineStr">
        <is>
          <t>No</t>
        </is>
      </c>
      <c r="I76" s="4" t="inlineStr"/>
    </row>
    <row r="77">
      <c r="A77" s="4" t="inlineStr">
        <is>
          <t>Canon</t>
        </is>
      </c>
      <c r="B77" s="4" t="inlineStr">
        <is>
          <t>Enough and room for error</t>
        </is>
      </c>
      <c r="C77" s="4" t="inlineStr">
        <is>
          <t>Your 'enough' number and your margin of safety</t>
        </is>
      </c>
      <c r="D77" s="4" t="inlineStr">
        <is>
          <t>Morgan Housel</t>
        </is>
      </c>
      <c r="E77" s="4" t="inlineStr">
        <is>
          <t>The Psychology of Money</t>
        </is>
      </c>
      <c r="F77" s="4" t="inlineStr"/>
      <c r="G77" s="4" t="inlineStr">
        <is>
          <t>4</t>
        </is>
      </c>
      <c r="H77" s="4" t="inlineStr">
        <is>
          <t>No</t>
        </is>
      </c>
      <c r="I77" s="4" t="inlineStr"/>
    </row>
    <row r="78">
      <c r="A78" s="4" t="inlineStr">
        <is>
          <t>Canon</t>
        </is>
      </c>
      <c r="B78" s="4" t="inlineStr">
        <is>
          <t>Conscious Spending Plan</t>
        </is>
      </c>
      <c r="C78" s="4" t="inlineStr">
        <is>
          <t>Fixed costs, investments, savings, guilt-free buckets vs their ranges</t>
        </is>
      </c>
      <c r="D78" s="4" t="inlineStr">
        <is>
          <t>Ramit Sethi</t>
        </is>
      </c>
      <c r="E78" s="4" t="inlineStr">
        <is>
          <t>I Will Teach You to Be Rich</t>
        </is>
      </c>
      <c r="F78" s="4" t="inlineStr"/>
      <c r="G78" s="4" t="inlineStr">
        <is>
          <t>4</t>
        </is>
      </c>
      <c r="H78" s="4" t="inlineStr">
        <is>
          <t>No</t>
        </is>
      </c>
      <c r="I78" s="4" t="inlineStr"/>
    </row>
    <row r="79">
      <c r="A79" s="4" t="inlineStr">
        <is>
          <t>Canon</t>
        </is>
      </c>
      <c r="B79" s="4" t="inlineStr">
        <is>
          <t>Money Dials</t>
        </is>
      </c>
      <c r="C79" s="4" t="inlineStr">
        <is>
          <t>The few things you love spending on</t>
        </is>
      </c>
      <c r="D79" s="4" t="inlineStr">
        <is>
          <t>Ramit Sethi</t>
        </is>
      </c>
      <c r="E79" s="4" t="inlineStr">
        <is>
          <t>I Will Teach You to Be Rich</t>
        </is>
      </c>
      <c r="F79" s="4" t="inlineStr"/>
      <c r="G79" s="4" t="inlineStr">
        <is>
          <t>4</t>
        </is>
      </c>
      <c r="H79" s="4" t="inlineStr">
        <is>
          <t>No</t>
        </is>
      </c>
      <c r="I79" s="4" t="inlineStr"/>
    </row>
    <row r="80">
      <c r="A80" s="4" t="inlineStr">
        <is>
          <t>Canon</t>
        </is>
      </c>
      <c r="B80" s="4" t="inlineStr">
        <is>
          <t>Automation map</t>
        </is>
      </c>
      <c r="C80" s="4" t="inlineStr">
        <is>
          <t>Which accounts move money on which day</t>
        </is>
      </c>
      <c r="D80" s="4" t="inlineStr">
        <is>
          <t>Ramit Sethi; David Bach</t>
        </is>
      </c>
      <c r="E80" s="4" t="inlineStr">
        <is>
          <t>IWT; The Automatic Millionaire</t>
        </is>
      </c>
      <c r="F80" s="4" t="inlineStr"/>
      <c r="G80" s="4" t="inlineStr">
        <is>
          <t>4</t>
        </is>
      </c>
      <c r="H80" s="4" t="inlineStr">
        <is>
          <t>No</t>
        </is>
      </c>
      <c r="I80" s="4" t="inlineStr"/>
    </row>
    <row r="81">
      <c r="A81" s="4" t="inlineStr">
        <is>
          <t>Canon</t>
        </is>
      </c>
      <c r="B81" s="4" t="inlineStr">
        <is>
          <t>Latte factor</t>
        </is>
      </c>
      <c r="C81" s="4" t="inlineStr">
        <is>
          <t>Small repeating spends grown to their future value</t>
        </is>
      </c>
      <c r="D81" s="4" t="inlineStr">
        <is>
          <t>David Bach</t>
        </is>
      </c>
      <c r="E81" s="4" t="inlineStr">
        <is>
          <t>The Automatic Millionaire</t>
        </is>
      </c>
      <c r="F81" s="4" t="inlineStr">
        <is>
          <t>Hours per latte</t>
        </is>
      </c>
      <c r="G81" s="4" t="inlineStr">
        <is>
          <t>4</t>
        </is>
      </c>
      <c r="H81" s="4" t="inlineStr">
        <is>
          <t>Partly (variable lines)</t>
        </is>
      </c>
      <c r="I81" s="4" t="inlineStr"/>
    </row>
    <row r="82">
      <c r="A82" s="4" t="inlineStr">
        <is>
          <t>Canon</t>
        </is>
      </c>
      <c r="B82" s="4" t="inlineStr">
        <is>
          <t>Expected net worth (PAW/UAW)</t>
        </is>
      </c>
      <c r="C82" s="4" t="inlineStr">
        <is>
          <t>Age x pretax income / 10 vs actual net worth</t>
        </is>
      </c>
      <c r="D82" s="4" t="inlineStr">
        <is>
          <t>Thomas Stanley, William Danko</t>
        </is>
      </c>
      <c r="E82" s="4" t="inlineStr">
        <is>
          <t>The Millionaire Next Door</t>
        </is>
      </c>
      <c r="F82" s="4" t="inlineStr"/>
      <c r="G82" s="4" t="inlineStr">
        <is>
          <t>4</t>
        </is>
      </c>
      <c r="H82" s="4" t="inlineStr">
        <is>
          <t>No</t>
        </is>
      </c>
      <c r="I82" s="4" t="inlineStr"/>
    </row>
    <row r="83">
      <c r="A83" s="4" t="inlineStr">
        <is>
          <t>Canon</t>
        </is>
      </c>
      <c r="B83" s="4" t="inlineStr">
        <is>
          <t>Assets vs liabilities by cash flow</t>
        </is>
      </c>
      <c r="C83" s="4" t="inlineStr">
        <is>
          <t>Does it put money in or take it out each month</t>
        </is>
      </c>
      <c r="D83" s="4" t="inlineStr">
        <is>
          <t>Robert Kiyosaki</t>
        </is>
      </c>
      <c r="E83" s="4" t="inlineStr">
        <is>
          <t>Rich Dad Poor Dad</t>
        </is>
      </c>
      <c r="F83" s="4" t="inlineStr"/>
      <c r="G83" s="4" t="inlineStr">
        <is>
          <t>4</t>
        </is>
      </c>
      <c r="H83" s="4" t="inlineStr">
        <is>
          <t>No</t>
        </is>
      </c>
      <c r="I83" s="4" t="inlineStr"/>
    </row>
    <row r="84">
      <c r="A84" s="4" t="inlineStr">
        <is>
          <t>Canon</t>
        </is>
      </c>
      <c r="B84" s="4" t="inlineStr">
        <is>
          <t>Cashflow quadrant</t>
        </is>
      </c>
      <c r="C84" s="4" t="inlineStr">
        <is>
          <t>Income by employee, self-employed, business, investor</t>
        </is>
      </c>
      <c r="D84" s="4" t="inlineStr">
        <is>
          <t>Robert Kiyosaki</t>
        </is>
      </c>
      <c r="E84" s="4" t="inlineStr">
        <is>
          <t>Cashflow Quadrant</t>
        </is>
      </c>
      <c r="F84" s="4" t="inlineStr"/>
      <c r="G84" s="4" t="inlineStr">
        <is>
          <t>4</t>
        </is>
      </c>
      <c r="H84" s="4" t="inlineStr">
        <is>
          <t>No</t>
        </is>
      </c>
      <c r="I84" s="4" t="inlineStr"/>
    </row>
    <row r="85">
      <c r="A85" s="4" t="inlineStr">
        <is>
          <t>Canon</t>
        </is>
      </c>
      <c r="B85" s="4" t="inlineStr">
        <is>
          <t>Baby Steps tracker</t>
        </is>
      </c>
      <c r="C85" s="4" t="inlineStr">
        <is>
          <t>Which of the 7 steps you're on</t>
        </is>
      </c>
      <c r="D85" s="4" t="inlineStr">
        <is>
          <t>Dave Ramsey</t>
        </is>
      </c>
      <c r="E85" s="4" t="inlineStr">
        <is>
          <t>The Total Money Makeover</t>
        </is>
      </c>
      <c r="F85" s="4" t="inlineStr"/>
      <c r="G85" s="4" t="inlineStr">
        <is>
          <t>4</t>
        </is>
      </c>
      <c r="H85" s="4" t="inlineStr">
        <is>
          <t>No</t>
        </is>
      </c>
      <c r="I85" s="4" t="inlineStr"/>
    </row>
    <row r="86">
      <c r="A86" s="4" t="inlineStr">
        <is>
          <t>Canon</t>
        </is>
      </c>
      <c r="B86" s="4" t="inlineStr">
        <is>
          <t>Financial Order of Operations</t>
        </is>
      </c>
      <c r="C86" s="4" t="inlineStr">
        <is>
          <t>Which of the 9 steps you're on and the next dollar</t>
        </is>
      </c>
      <c r="D86" s="4" t="inlineStr">
        <is>
          <t>Brian Preston, Bo Hanson</t>
        </is>
      </c>
      <c r="E86" s="4" t="inlineStr">
        <is>
          <t>The Money Guy Show</t>
        </is>
      </c>
      <c r="F86" s="4" t="inlineStr"/>
      <c r="G86" s="4" t="inlineStr">
        <is>
          <t>3</t>
        </is>
      </c>
      <c r="H86" s="4" t="inlineStr">
        <is>
          <t>Partly (built before)</t>
        </is>
      </c>
      <c r="I86" s="4" t="inlineStr"/>
    </row>
    <row r="87">
      <c r="A87" s="4" t="inlineStr">
        <is>
          <t>Canon</t>
        </is>
      </c>
      <c r="B87" s="4" t="inlineStr">
        <is>
          <t>Wealth multiplier</t>
        </is>
      </c>
      <c r="C87" s="4" t="inlineStr">
        <is>
          <t>What $1 saved today becomes at retirement, by age</t>
        </is>
      </c>
      <c r="D87" s="4" t="inlineStr">
        <is>
          <t>Brian Preston, Bo Hanson</t>
        </is>
      </c>
      <c r="E87" s="4" t="inlineStr">
        <is>
          <t>The Money Guy Show</t>
        </is>
      </c>
      <c r="F87" s="4" t="inlineStr">
        <is>
          <t>Hours today vs dollars later</t>
        </is>
      </c>
      <c r="G87" s="4" t="inlineStr">
        <is>
          <t>4</t>
        </is>
      </c>
      <c r="H87" s="4" t="inlineStr">
        <is>
          <t>No</t>
        </is>
      </c>
      <c r="I87" s="4" t="inlineStr"/>
    </row>
    <row r="88">
      <c r="A88" s="4" t="inlineStr">
        <is>
          <t>Canon</t>
        </is>
      </c>
      <c r="B88" s="4" t="inlineStr">
        <is>
          <t>20/3/8 car rule</t>
        </is>
      </c>
      <c r="C88" s="4" t="inlineStr">
        <is>
          <t>Car purchase check: 20% down, 3 years, under 8% of income</t>
        </is>
      </c>
      <c r="D88" s="4" t="inlineStr">
        <is>
          <t>Brian Preston, Bo Hanson</t>
        </is>
      </c>
      <c r="E88" s="4" t="inlineStr">
        <is>
          <t>The Money Guy Show</t>
        </is>
      </c>
      <c r="F88" s="4" t="inlineStr"/>
      <c r="G88" s="4" t="inlineStr">
        <is>
          <t>4</t>
        </is>
      </c>
      <c r="H88" s="4" t="inlineStr">
        <is>
          <t>No</t>
        </is>
      </c>
      <c r="I88" s="4" t="inlineStr"/>
    </row>
    <row r="89">
      <c r="A89" s="4" t="inlineStr">
        <is>
          <t>Canon</t>
        </is>
      </c>
      <c r="B89" s="4" t="inlineStr">
        <is>
          <t>Dreamlining</t>
        </is>
      </c>
      <c r="C89" s="4" t="inlineStr">
        <is>
          <t>Dreams with costs and a target monthly income</t>
        </is>
      </c>
      <c r="D89" s="4" t="inlineStr">
        <is>
          <t>Tim Ferriss</t>
        </is>
      </c>
      <c r="E89" s="4" t="inlineStr">
        <is>
          <t>The 4-Hour Workweek</t>
        </is>
      </c>
      <c r="F89" s="4" t="inlineStr">
        <is>
          <t>Months of work per dream</t>
        </is>
      </c>
      <c r="G89" s="4" t="inlineStr">
        <is>
          <t>5</t>
        </is>
      </c>
      <c r="H89" s="4" t="inlineStr">
        <is>
          <t>No</t>
        </is>
      </c>
      <c r="I89" s="4" t="inlineStr"/>
    </row>
    <row r="90">
      <c r="A90" s="4" t="inlineStr">
        <is>
          <t>Canon</t>
        </is>
      </c>
      <c r="B90" s="4" t="inlineStr">
        <is>
          <t>Mini-retirement planner</t>
        </is>
      </c>
      <c r="C90" s="4" t="inlineStr">
        <is>
          <t>Sabbaticals priced and placed on the timeline</t>
        </is>
      </c>
      <c r="D90" s="4" t="inlineStr">
        <is>
          <t>Tim Ferriss</t>
        </is>
      </c>
      <c r="E90" s="4" t="inlineStr">
        <is>
          <t>The 4-Hour Workweek</t>
        </is>
      </c>
      <c r="F90" s="4" t="inlineStr"/>
      <c r="G90" s="4" t="inlineStr">
        <is>
          <t>5</t>
        </is>
      </c>
      <c r="H90" s="4" t="inlineStr">
        <is>
          <t>Backlog (scenario)</t>
        </is>
      </c>
      <c r="I90" s="4" t="inlineStr"/>
    </row>
    <row r="91">
      <c r="A91" s="4" t="inlineStr">
        <is>
          <t>Canon</t>
        </is>
      </c>
      <c r="B91" s="4" t="inlineStr">
        <is>
          <t>Wealth stages ($25k, $100k)</t>
        </is>
      </c>
      <c r="C91" s="4" t="inlineStr">
        <is>
          <t>Which stage and the moves that matter there</t>
        </is>
      </c>
      <c r="D91" s="4" t="inlineStr">
        <is>
          <t>Scott Trench</t>
        </is>
      </c>
      <c r="E91" s="4" t="inlineStr">
        <is>
          <t>Set for Life</t>
        </is>
      </c>
      <c r="F91" s="4" t="inlineStr"/>
      <c r="G91" s="4" t="inlineStr">
        <is>
          <t>4</t>
        </is>
      </c>
      <c r="H91" s="4" t="inlineStr">
        <is>
          <t>No</t>
        </is>
      </c>
      <c r="I91" s="4" t="inlineStr"/>
    </row>
    <row r="92">
      <c r="A92" s="4" t="inlineStr">
        <is>
          <t>Canon</t>
        </is>
      </c>
      <c r="B92" s="4" t="inlineStr">
        <is>
          <t>House hack calculator</t>
        </is>
      </c>
      <c r="C92" s="4" t="inlineStr">
        <is>
          <t>Living-cost offset from renting part of your home</t>
        </is>
      </c>
      <c r="D92" s="4" t="inlineStr">
        <is>
          <t>Scott Trench</t>
        </is>
      </c>
      <c r="E92" s="4" t="inlineStr">
        <is>
          <t>Set for Life; BiggerPockets</t>
        </is>
      </c>
      <c r="F92" s="4" t="inlineStr">
        <is>
          <t>Hours of rent saved</t>
        </is>
      </c>
      <c r="G92" s="4" t="inlineStr">
        <is>
          <t>5</t>
        </is>
      </c>
      <c r="H92" s="4" t="inlineStr">
        <is>
          <t>Backlog</t>
        </is>
      </c>
      <c r="I92" s="4" t="inlineStr"/>
    </row>
    <row r="93">
      <c r="A93" s="4" t="inlineStr">
        <is>
          <t>Canon</t>
        </is>
      </c>
      <c r="B93" s="4" t="inlineStr">
        <is>
          <t>Yield shield and cash cushion</t>
        </is>
      </c>
      <c r="C93" s="4" t="inlineStr">
        <is>
          <t>Drawdown buffers for bad markets</t>
        </is>
      </c>
      <c r="D93" s="4" t="inlineStr">
        <is>
          <t>Kristy Shen, Bryce Leung</t>
        </is>
      </c>
      <c r="E93" s="4" t="inlineStr">
        <is>
          <t>Quit Like a Millionaire</t>
        </is>
      </c>
      <c r="F93" s="4" t="inlineStr"/>
      <c r="G93" s="4" t="inlineStr">
        <is>
          <t>5</t>
        </is>
      </c>
      <c r="H93" s="4" t="inlineStr">
        <is>
          <t>No</t>
        </is>
      </c>
      <c r="I93" s="4" t="inlineStr"/>
    </row>
    <row r="94">
      <c r="A94" s="4" t="inlineStr">
        <is>
          <t>Canon</t>
        </is>
      </c>
      <c r="B94" s="4" t="inlineStr">
        <is>
          <t>Geographic arbitrage</t>
        </is>
      </c>
      <c r="C94" s="4" t="inlineStr">
        <is>
          <t>Same life, different city or country, with taxes and healthcare</t>
        </is>
      </c>
      <c r="D94" s="4" t="inlineStr">
        <is>
          <t>Kristy Shen, Bryce Leung</t>
        </is>
      </c>
      <c r="E94" s="4" t="inlineStr">
        <is>
          <t>Quit Like a Millionaire</t>
        </is>
      </c>
      <c r="F94" s="4" t="inlineStr">
        <is>
          <t>Years of FI gained</t>
        </is>
      </c>
      <c r="G94" s="4" t="inlineStr">
        <is>
          <t>5</t>
        </is>
      </c>
      <c r="H94" s="4" t="inlineStr">
        <is>
          <t>Backlog (scenario)</t>
        </is>
      </c>
      <c r="I94" s="4" t="inlineStr"/>
    </row>
    <row r="95">
      <c r="A95" s="4" t="inlineStr">
        <is>
          <t>Canon</t>
        </is>
      </c>
      <c r="B95" s="4" t="inlineStr">
        <is>
          <t>Safe withdrawal and sequence risk</t>
        </is>
      </c>
      <c r="C95" s="4" t="inlineStr">
        <is>
          <t>Failure risk of your withdrawal rate in bad sequences</t>
        </is>
      </c>
      <c r="D95" s="4" t="inlineStr">
        <is>
          <t>Karsten Jeske (Big ERN)</t>
        </is>
      </c>
      <c r="E95" s="4" t="inlineStr">
        <is>
          <t>Early Retirement Now</t>
        </is>
      </c>
      <c r="F95" s="4" t="inlineStr"/>
      <c r="G95" s="4" t="inlineStr">
        <is>
          <t>5</t>
        </is>
      </c>
      <c r="H95" s="4" t="inlineStr">
        <is>
          <t>No</t>
        </is>
      </c>
      <c r="I95" s="4" t="inlineStr"/>
    </row>
    <row r="96">
      <c r="A96" s="4" t="inlineStr">
        <is>
          <t>Canon</t>
        </is>
      </c>
      <c r="B96" s="4" t="inlineStr">
        <is>
          <t>Roth conversion ladder</t>
        </is>
      </c>
      <c r="C96" s="4" t="inlineStr">
        <is>
          <t>Year-by-year conversions to reach retirement money early</t>
        </is>
      </c>
      <c r="D96" s="4" t="inlineStr">
        <is>
          <t>Brandon (Mad Fientist)</t>
        </is>
      </c>
      <c r="E96" s="4" t="inlineStr">
        <is>
          <t>Mad Fientist</t>
        </is>
      </c>
      <c r="F96" s="4" t="inlineStr"/>
      <c r="G96" s="4" t="inlineStr">
        <is>
          <t>5</t>
        </is>
      </c>
      <c r="H96" s="4" t="inlineStr">
        <is>
          <t>Backlog</t>
        </is>
      </c>
      <c r="I96" s="4" t="inlineStr"/>
    </row>
    <row r="97">
      <c r="A97" s="4" t="inlineStr">
        <is>
          <t>Canon</t>
        </is>
      </c>
      <c r="B97" s="4" t="inlineStr">
        <is>
          <t>HSA as a retirement account</t>
        </is>
      </c>
      <c r="C97" s="4" t="inlineStr">
        <is>
          <t>Invest the HSA and save receipts</t>
        </is>
      </c>
      <c r="D97" s="4" t="inlineStr">
        <is>
          <t>Brandon (Mad Fientist)</t>
        </is>
      </c>
      <c r="E97" s="4" t="inlineStr">
        <is>
          <t>Mad Fientist</t>
        </is>
      </c>
      <c r="F97" s="4" t="inlineStr"/>
      <c r="G97" s="4" t="inlineStr">
        <is>
          <t>5</t>
        </is>
      </c>
      <c r="H97" s="4" t="inlineStr">
        <is>
          <t>No</t>
        </is>
      </c>
      <c r="I97" s="4" t="inlineStr"/>
    </row>
    <row r="98">
      <c r="A98" s="4" t="inlineStr">
        <is>
          <t>Canon</t>
        </is>
      </c>
      <c r="B98" s="4" t="inlineStr">
        <is>
          <t>0% tax early retirement</t>
        </is>
      </c>
      <c r="C98" s="4" t="inlineStr">
        <is>
          <t>Income shaped to pay little or no tax</t>
        </is>
      </c>
      <c r="D98" s="4" t="inlineStr">
        <is>
          <t>Jeremy Jacobson</t>
        </is>
      </c>
      <c r="E98" s="4" t="inlineStr">
        <is>
          <t>Go Curry Cracker</t>
        </is>
      </c>
      <c r="F98" s="4" t="inlineStr"/>
      <c r="G98" s="4" t="inlineStr">
        <is>
          <t>5</t>
        </is>
      </c>
      <c r="H98" s="4" t="inlineStr">
        <is>
          <t>Backlog (True FI)</t>
        </is>
      </c>
      <c r="I98" s="4" t="inlineStr"/>
    </row>
    <row r="99">
      <c r="A99" s="4" t="inlineStr">
        <is>
          <t>Canon</t>
        </is>
      </c>
      <c r="B99" s="4" t="inlineStr">
        <is>
          <t>Travel rewards value</t>
        </is>
      </c>
      <c r="C99" s="4" t="inlineStr">
        <is>
          <t>Points earned from normal spending, valued in trips</t>
        </is>
      </c>
      <c r="D99" s="4" t="inlineStr">
        <is>
          <t>Brad Barrett</t>
        </is>
      </c>
      <c r="E99" s="4" t="inlineStr">
        <is>
          <t>ChooseFI</t>
        </is>
      </c>
      <c r="F99" s="4" t="inlineStr"/>
      <c r="G99" s="4" t="inlineStr">
        <is>
          <t>5</t>
        </is>
      </c>
      <c r="H99" s="4" t="inlineStr">
        <is>
          <t>Backlog (card library)</t>
        </is>
      </c>
      <c r="I99" s="4" t="inlineStr"/>
    </row>
    <row r="100">
      <c r="A100" s="4" t="inlineStr">
        <is>
          <t>Canon</t>
        </is>
      </c>
      <c r="B100" s="4" t="inlineStr">
        <is>
          <t>Afford anything, not everything</t>
        </is>
      </c>
      <c r="C100" s="4" t="inlineStr">
        <is>
          <t>Every choice shows what it costs elsewhere</t>
        </is>
      </c>
      <c r="D100" s="4" t="inlineStr">
        <is>
          <t>Paula Pant</t>
        </is>
      </c>
      <c r="E100" s="4" t="inlineStr">
        <is>
          <t>Afford Anything</t>
        </is>
      </c>
      <c r="F100" s="4" t="inlineStr">
        <is>
          <t>Hours of other goals given up</t>
        </is>
      </c>
      <c r="G100" s="4" t="inlineStr">
        <is>
          <t>4</t>
        </is>
      </c>
      <c r="H100" s="4" t="inlineStr">
        <is>
          <t>No</t>
        </is>
      </c>
      <c r="I100" s="4" t="inlineStr"/>
    </row>
    <row r="101">
      <c r="A101" s="4" t="inlineStr">
        <is>
          <t>Canon</t>
        </is>
      </c>
      <c r="B101" s="4" t="inlineStr">
        <is>
          <t>Hourly value of your time</t>
        </is>
      </c>
      <c r="C101" s="4" t="inlineStr">
        <is>
          <t>What an hour of your time is worth, used to decide what to outsource</t>
        </is>
      </c>
      <c r="D101" s="4" t="inlineStr">
        <is>
          <t>Grant Sabatier</t>
        </is>
      </c>
      <c r="E101" s="4" t="inlineStr">
        <is>
          <t>Financial Freedom</t>
        </is>
      </c>
      <c r="F101" s="4" t="inlineStr">
        <is>
          <t>Built on the time view</t>
        </is>
      </c>
      <c r="G101" s="4" t="inlineStr">
        <is>
          <t>3</t>
        </is>
      </c>
      <c r="H101" s="4" t="inlineStr">
        <is>
          <t>Partly</t>
        </is>
      </c>
      <c r="I101" s="4" t="inlineStr"/>
    </row>
    <row r="102">
      <c r="A102" s="4" t="inlineStr">
        <is>
          <t>Canon</t>
        </is>
      </c>
      <c r="B102" s="4" t="inlineStr">
        <is>
          <t>Savings rate ladder</t>
        </is>
      </c>
      <c r="C102" s="4" t="inlineStr">
        <is>
          <t>How each 5% of savings rate cuts years of work</t>
        </is>
      </c>
      <c r="D102" s="4" t="inlineStr">
        <is>
          <t>Jacob Lund Fisker</t>
        </is>
      </c>
      <c r="E102" s="4" t="inlineStr">
        <is>
          <t>Early Retirement Extreme</t>
        </is>
      </c>
      <c r="F102" s="4" t="inlineStr">
        <is>
          <t>Years per 5%</t>
        </is>
      </c>
      <c r="G102" s="4" t="inlineStr">
        <is>
          <t>4</t>
        </is>
      </c>
      <c r="H102" s="4" t="inlineStr">
        <is>
          <t>No</t>
        </is>
      </c>
      <c r="I102" s="4" t="inlineStr"/>
    </row>
    <row r="103">
      <c r="A103" s="4" t="inlineStr">
        <is>
          <t>Canon</t>
        </is>
      </c>
      <c r="B103" s="4" t="inlineStr">
        <is>
          <t>Noodle budget</t>
        </is>
      </c>
      <c r="C103" s="4" t="inlineStr">
        <is>
          <t>Bare-bones survival budget</t>
        </is>
      </c>
      <c r="D103" s="4" t="inlineStr">
        <is>
          <t>Tiffany Aliche</t>
        </is>
      </c>
      <c r="E103" s="4" t="inlineStr">
        <is>
          <t>Get Good with Money</t>
        </is>
      </c>
      <c r="F103" s="4" t="inlineStr"/>
      <c r="G103" s="4" t="inlineStr">
        <is>
          <t>3</t>
        </is>
      </c>
      <c r="H103" s="4" t="inlineStr">
        <is>
          <t>Partly (fixed floor)</t>
        </is>
      </c>
      <c r="I103" s="4" t="inlineStr"/>
    </row>
    <row r="104">
      <c r="A104" s="4" t="inlineStr">
        <is>
          <t>Canon</t>
        </is>
      </c>
      <c r="B104" s="4" t="inlineStr">
        <is>
          <t>Profit First for side income</t>
        </is>
      </c>
      <c r="C104" s="4" t="inlineStr">
        <is>
          <t>Split business income into set percentages</t>
        </is>
      </c>
      <c r="D104" s="4" t="inlineStr">
        <is>
          <t>Mike Michalowicz</t>
        </is>
      </c>
      <c r="E104" s="4" t="inlineStr">
        <is>
          <t>Profit First</t>
        </is>
      </c>
      <c r="F104" s="4" t="inlineStr"/>
      <c r="G104" s="4" t="inlineStr">
        <is>
          <t>5</t>
        </is>
      </c>
      <c r="H104" s="4" t="inlineStr">
        <is>
          <t>No</t>
        </is>
      </c>
      <c r="I104" s="4" t="inlineStr"/>
    </row>
    <row r="105">
      <c r="A105" s="4" t="inlineStr">
        <is>
          <t>Canon</t>
        </is>
      </c>
      <c r="B105" s="4" t="inlineStr">
        <is>
          <t>Value Equation for income</t>
        </is>
      </c>
      <c r="C105" s="4" t="inlineStr">
        <is>
          <t>Price an offer by outcome, likelihood, time and effort</t>
        </is>
      </c>
      <c r="D105" s="4" t="inlineStr">
        <is>
          <t>Alex Hormozi</t>
        </is>
      </c>
      <c r="E105" s="4" t="inlineStr">
        <is>
          <t>$100M Offers</t>
        </is>
      </c>
      <c r="F105" s="4" t="inlineStr"/>
      <c r="G105" s="4" t="inlineStr">
        <is>
          <t>5</t>
        </is>
      </c>
      <c r="H105" s="4" t="inlineStr">
        <is>
          <t>No</t>
        </is>
      </c>
      <c r="I105" s="4" t="inlineStr"/>
    </row>
    <row r="106">
      <c r="A106" s="4" t="inlineStr">
        <is>
          <t>Canon</t>
        </is>
      </c>
      <c r="B106" s="4" t="inlineStr">
        <is>
          <t>Pop-up side hustle test</t>
        </is>
      </c>
      <c r="C106" s="4" t="inlineStr">
        <is>
          <t>Test a business idea cheaply, track its hourly return</t>
        </is>
      </c>
      <c r="D106" s="4" t="inlineStr">
        <is>
          <t>Alan Donegan</t>
        </is>
      </c>
      <c r="E106" s="4" t="inlineStr">
        <is>
          <t>PopUp Business</t>
        </is>
      </c>
      <c r="F106" s="4" t="inlineStr">
        <is>
          <t>Return per hour</t>
        </is>
      </c>
      <c r="G106" s="4" t="inlineStr">
        <is>
          <t>5</t>
        </is>
      </c>
      <c r="H106" s="4" t="inlineStr">
        <is>
          <t>No</t>
        </is>
      </c>
      <c r="I106" s="4" t="inlineStr"/>
    </row>
    <row r="107">
      <c r="A107" s="4" t="inlineStr">
        <is>
          <t>Canon</t>
        </is>
      </c>
      <c r="B107" s="4" t="inlineStr">
        <is>
          <t>Algebra of wealth</t>
        </is>
      </c>
      <c r="C107" s="4" t="inlineStr">
        <is>
          <t>Focus, stoicism, time and diversification as a scorecard</t>
        </is>
      </c>
      <c r="D107" s="4" t="inlineStr">
        <is>
          <t>Scott Galloway</t>
        </is>
      </c>
      <c r="E107" s="4" t="inlineStr">
        <is>
          <t>The Algebra of Wealth</t>
        </is>
      </c>
      <c r="F107" s="4" t="inlineStr"/>
      <c r="G107" s="4" t="inlineStr">
        <is>
          <t>6</t>
        </is>
      </c>
      <c r="H107" s="4" t="inlineStr">
        <is>
          <t>No</t>
        </is>
      </c>
      <c r="I107" s="4" t="inlineStr"/>
    </row>
    <row r="108">
      <c r="A108" s="4" t="inlineStr">
        <is>
          <t>Canon</t>
        </is>
      </c>
      <c r="B108" s="4" t="inlineStr">
        <is>
          <t>Pay yourself first</t>
        </is>
      </c>
      <c r="C108" s="4" t="inlineStr">
        <is>
          <t>Savings come out before spending</t>
        </is>
      </c>
      <c r="D108" s="4" t="inlineStr">
        <is>
          <t>George S. Clason</t>
        </is>
      </c>
      <c r="E108" s="4" t="inlineStr">
        <is>
          <t>The Richest Man in Babylon</t>
        </is>
      </c>
      <c r="F108" s="4" t="inlineStr"/>
      <c r="G108" s="4" t="inlineStr">
        <is>
          <t>3</t>
        </is>
      </c>
      <c r="H108" s="4" t="inlineStr">
        <is>
          <t>Partly</t>
        </is>
      </c>
      <c r="I108" s="4" t="inlineStr"/>
    </row>
    <row r="109">
      <c r="A109" s="4" t="inlineStr">
        <is>
          <t>Canon</t>
        </is>
      </c>
      <c r="B109" s="4" t="inlineStr">
        <is>
          <t>Uber Frugal month</t>
        </is>
      </c>
      <c r="C109" s="4" t="inlineStr">
        <is>
          <t>A one-month challenge with daily tracking</t>
        </is>
      </c>
      <c r="D109" s="4" t="inlineStr">
        <is>
          <t>Mrs. Frugalwoods</t>
        </is>
      </c>
      <c r="E109" s="4" t="inlineStr">
        <is>
          <t>Frugalwoods</t>
        </is>
      </c>
      <c r="F109" s="4" t="inlineStr"/>
      <c r="G109" s="4" t="inlineStr">
        <is>
          <t>6</t>
        </is>
      </c>
      <c r="H109" s="4" t="inlineStr">
        <is>
          <t>No</t>
        </is>
      </c>
      <c r="I109" s="4" t="inlineStr"/>
    </row>
    <row r="110">
      <c r="A110" s="4" t="inlineStr">
        <is>
          <t>Canon</t>
        </is>
      </c>
      <c r="B110" s="4" t="inlineStr">
        <is>
          <t>Pricing your power</t>
        </is>
      </c>
      <c r="C110" s="4" t="inlineStr">
        <is>
          <t>Price-floor math for independent work</t>
        </is>
      </c>
      <c r="D110" s="4" t="inlineStr">
        <is>
          <t>MelRose Michaels; Alexandra Snow</t>
        </is>
      </c>
      <c r="E110" s="4" t="inlineStr">
        <is>
          <t>Sex Work CEO; Wicked Alliance</t>
        </is>
      </c>
      <c r="F110" s="4" t="inlineStr">
        <is>
          <t>Hourly floor</t>
        </is>
      </c>
      <c r="G110" s="4" t="inlineStr">
        <is>
          <t>5</t>
        </is>
      </c>
      <c r="H110" s="4" t="inlineStr">
        <is>
          <t>Backlog (domme series)</t>
        </is>
      </c>
      <c r="I110" s="4" t="inlineStr"/>
    </row>
    <row r="111">
      <c r="A111" s="4" t="inlineStr">
        <is>
          <t>Canon</t>
        </is>
      </c>
      <c r="B111" s="4" t="inlineStr">
        <is>
          <t>Quarterly tax set-aside</t>
        </is>
      </c>
      <c r="C111" s="4" t="inlineStr">
        <is>
          <t>Estimated tax savings for cash and gig income</t>
        </is>
      </c>
      <c r="D111" s="4" t="inlineStr">
        <is>
          <t>Daisy Does Taxes</t>
        </is>
      </c>
      <c r="E111" s="4" t="inlineStr">
        <is>
          <t>Domme-world tax education</t>
        </is>
      </c>
      <c r="F111" s="4" t="inlineStr"/>
      <c r="G111" s="4" t="inlineStr">
        <is>
          <t>3</t>
        </is>
      </c>
      <c r="H111" s="4" t="inlineStr">
        <is>
          <t>Yes (set-aside)</t>
        </is>
      </c>
      <c r="I111" s="4" t="inlineStr"/>
    </row>
    <row r="112">
      <c r="A112" s="5" t="inlineStr">
        <is>
          <t>NEXT LEVEL: talked about, rarely or never built</t>
        </is>
      </c>
      <c r="B112" s="6" t="n"/>
      <c r="C112" s="6" t="n"/>
      <c r="D112" s="6" t="n"/>
      <c r="E112" s="6" t="n"/>
      <c r="F112" s="6" t="n"/>
      <c r="G112" s="6" t="n"/>
      <c r="H112" s="6" t="n"/>
      <c r="I112" s="6" t="n"/>
    </row>
    <row r="113">
      <c r="A113" s="4" t="inlineStr">
        <is>
          <t>Next level</t>
        </is>
      </c>
      <c r="B113" s="4" t="inlineStr">
        <is>
          <t>Life energy price tag at checkout</t>
        </is>
      </c>
      <c r="C113" s="4" t="inlineStr">
        <is>
          <t>Type a price anywhere and see hours of work and FI days it costs</t>
        </is>
      </c>
      <c r="D113" s="4" t="inlineStr">
        <is>
          <t>Eli; YMOYL</t>
        </is>
      </c>
      <c r="E113" s="4" t="inlineStr">
        <is>
          <t>Talked about, rarely built</t>
        </is>
      </c>
      <c r="F113" s="4" t="inlineStr">
        <is>
          <t>This is the time view</t>
        </is>
      </c>
      <c r="G113" s="4" t="inlineStr">
        <is>
          <t>6</t>
        </is>
      </c>
      <c r="H113" s="4" t="inlineStr">
        <is>
          <t>No</t>
        </is>
      </c>
      <c r="I113" s="4" t="inlineStr"/>
    </row>
    <row r="114">
      <c r="A114" s="4" t="inlineStr">
        <is>
          <t>Next level</t>
        </is>
      </c>
      <c r="B114" s="4" t="inlineStr">
        <is>
          <t>Enough meter</t>
        </is>
      </c>
      <c r="C114" s="4" t="inlineStr">
        <is>
          <t>Where you sit on the fulfillment curve and when more stops helping</t>
        </is>
      </c>
      <c r="D114" s="4" t="inlineStr">
        <is>
          <t>Morgan Housel; YMOYL</t>
        </is>
      </c>
      <c r="E114" s="4" t="inlineStr">
        <is>
          <t>Talked about, never built</t>
        </is>
      </c>
      <c r="F114" s="4" t="inlineStr"/>
      <c r="G114" s="4" t="inlineStr">
        <is>
          <t>6</t>
        </is>
      </c>
      <c r="H114" s="4" t="inlineStr">
        <is>
          <t>No</t>
        </is>
      </c>
      <c r="I114" s="4" t="inlineStr"/>
    </row>
    <row r="115">
      <c r="A115" s="4" t="inlineStr">
        <is>
          <t>Next level</t>
        </is>
      </c>
      <c r="B115" s="4" t="inlineStr">
        <is>
          <t>Lifestyle creep detector</t>
        </is>
      </c>
      <c r="C115" s="4" t="inlineStr">
        <is>
          <t>Spending growth vs income growth, flagged early</t>
        </is>
      </c>
      <c r="D115" s="4" t="inlineStr">
        <is>
          <t>FIRE community</t>
        </is>
      </c>
      <c r="E115" s="4" t="inlineStr">
        <is>
          <t>Talked about, rarely built</t>
        </is>
      </c>
      <c r="F115" s="4" t="inlineStr">
        <is>
          <t>Hours of creep per year</t>
        </is>
      </c>
      <c r="G115" s="4" t="inlineStr">
        <is>
          <t>6</t>
        </is>
      </c>
      <c r="H115" s="4" t="inlineStr">
        <is>
          <t>No</t>
        </is>
      </c>
      <c r="I115" s="4" t="inlineStr"/>
    </row>
    <row r="116">
      <c r="A116" s="4" t="inlineStr">
        <is>
          <t>Next level</t>
        </is>
      </c>
      <c r="B116" s="4" t="inlineStr">
        <is>
          <t>Present vs future self slider</t>
        </is>
      </c>
      <c r="C116" s="4" t="inlineStr">
        <is>
          <t>Balance Die With Zero and FIRE on one slider; see both lives</t>
        </is>
      </c>
      <c r="D116" s="4" t="inlineStr">
        <is>
          <t>Bill Perkins; FIRE community</t>
        </is>
      </c>
      <c r="E116" s="4" t="inlineStr">
        <is>
          <t>Never built</t>
        </is>
      </c>
      <c r="F116" s="4" t="inlineStr">
        <is>
          <t>Years of work vs memories</t>
        </is>
      </c>
      <c r="G116" s="4" t="inlineStr">
        <is>
          <t>6</t>
        </is>
      </c>
      <c r="H116" s="4" t="inlineStr">
        <is>
          <t>No</t>
        </is>
      </c>
      <c r="I116" s="4" t="inlineStr"/>
    </row>
    <row r="117">
      <c r="A117" s="4" t="inlineStr">
        <is>
          <t>Next level</t>
        </is>
      </c>
      <c r="B117" s="4" t="inlineStr">
        <is>
          <t>Healthcare bridge optimizer</t>
        </is>
      </c>
      <c r="C117" s="4" t="inlineStr">
        <is>
          <t>ACA subsidy cliffs and income shaping before 65</t>
        </is>
      </c>
      <c r="D117" s="4" t="inlineStr">
        <is>
          <t>Brandon (Mad Fientist); Jeremy Jacobson</t>
        </is>
      </c>
      <c r="E117" s="4" t="inlineStr">
        <is>
          <t>Talked about, rarely built for clients</t>
        </is>
      </c>
      <c r="F117" s="4" t="inlineStr"/>
      <c r="G117" s="4" t="inlineStr">
        <is>
          <t>5</t>
        </is>
      </c>
      <c r="H117" s="4" t="inlineStr">
        <is>
          <t>No</t>
        </is>
      </c>
      <c r="I117" s="4" t="inlineStr"/>
    </row>
    <row r="118">
      <c r="A118" s="4" t="inlineStr">
        <is>
          <t>Next level</t>
        </is>
      </c>
      <c r="B118" s="4" t="inlineStr">
        <is>
          <t>Social Security for early retirees</t>
        </is>
      </c>
      <c r="C118" s="4" t="inlineStr">
        <is>
          <t>How zero-earning years change the benefit</t>
        </is>
      </c>
      <c r="D118" s="4" t="inlineStr">
        <is>
          <t>FIRE community</t>
        </is>
      </c>
      <c r="E118" s="4" t="inlineStr">
        <is>
          <t>Rarely built</t>
        </is>
      </c>
      <c r="F118" s="4" t="inlineStr"/>
      <c r="G118" s="4" t="inlineStr">
        <is>
          <t>5</t>
        </is>
      </c>
      <c r="H118" s="4" t="inlineStr">
        <is>
          <t>No</t>
        </is>
      </c>
      <c r="I118" s="4" t="inlineStr"/>
    </row>
    <row r="119">
      <c r="A119" s="4" t="inlineStr">
        <is>
          <t>Next level</t>
        </is>
      </c>
      <c r="B119" s="4" t="inlineStr">
        <is>
          <t>Every subscription's FI cost</t>
        </is>
      </c>
      <c r="C119" s="4" t="inlineStr">
        <is>
          <t>Each recurring bill shown as days added to your FI date</t>
        </is>
      </c>
      <c r="D119" s="4" t="inlineStr">
        <is>
          <t>Eli</t>
        </is>
      </c>
      <c r="E119" s="4" t="inlineStr">
        <is>
          <t>Never built</t>
        </is>
      </c>
      <c r="F119" s="4" t="inlineStr">
        <is>
          <t>FI days per bill</t>
        </is>
      </c>
      <c r="G119" s="4" t="inlineStr">
        <is>
          <t>4</t>
        </is>
      </c>
      <c r="H119" s="4" t="inlineStr">
        <is>
          <t>No</t>
        </is>
      </c>
      <c r="I119" s="4" t="inlineStr"/>
    </row>
    <row r="120">
      <c r="A120" s="4" t="inlineStr">
        <is>
          <t>Next level</t>
        </is>
      </c>
      <c r="B120" s="4" t="inlineStr">
        <is>
          <t>Sandwich generation planner</t>
        </is>
      </c>
      <c r="C120" s="4" t="inlineStr">
        <is>
          <t>Money to parents and kids at the same time</t>
        </is>
      </c>
      <c r="D120" s="4" t="inlineStr">
        <is>
          <t>Eli (aging parents)</t>
        </is>
      </c>
      <c r="E120" s="4" t="inlineStr">
        <is>
          <t>Rarely built</t>
        </is>
      </c>
      <c r="F120" s="4" t="inlineStr"/>
      <c r="G120" s="4" t="inlineStr">
        <is>
          <t>5</t>
        </is>
      </c>
      <c r="H120" s="4" t="inlineStr">
        <is>
          <t>No</t>
        </is>
      </c>
      <c r="I120" s="4" t="inlineStr"/>
    </row>
    <row r="121">
      <c r="A121" s="4" t="inlineStr">
        <is>
          <t>Next level</t>
        </is>
      </c>
      <c r="B121" s="4" t="inlineStr">
        <is>
          <t>Couples fairness split</t>
        </is>
      </c>
      <c r="C121" s="4" t="inlineStr">
        <is>
          <t>Fun money and bills split by income share, shown both ways</t>
        </is>
      </c>
      <c r="D121" s="4" t="inlineStr">
        <is>
          <t>Ramit Sethi; couples community</t>
        </is>
      </c>
      <c r="E121" s="4" t="inlineStr">
        <is>
          <t>Talked about</t>
        </is>
      </c>
      <c r="F121" s="4" t="inlineStr"/>
      <c r="G121" s="4" t="inlineStr">
        <is>
          <t>6</t>
        </is>
      </c>
      <c r="H121" s="4" t="inlineStr">
        <is>
          <t>No</t>
        </is>
      </c>
      <c r="I121" s="4" t="inlineStr"/>
    </row>
    <row r="122">
      <c r="A122" s="4" t="inlineStr">
        <is>
          <t>Next level</t>
        </is>
      </c>
      <c r="B122" s="4" t="inlineStr">
        <is>
          <t>Regret minimization check</t>
        </is>
      </c>
      <c r="C122" s="4" t="inlineStr">
        <is>
          <t>Big decisions scored by future regret</t>
        </is>
      </c>
      <c r="D122" s="4" t="inlineStr">
        <is>
          <t>Jeff Bezos (framework); Bill Perkins</t>
        </is>
      </c>
      <c r="E122" s="4" t="inlineStr">
        <is>
          <t>Talked about</t>
        </is>
      </c>
      <c r="F122" s="4" t="inlineStr"/>
      <c r="G122" s="4" t="inlineStr">
        <is>
          <t>7</t>
        </is>
      </c>
      <c r="H122" s="4" t="inlineStr">
        <is>
          <t>No</t>
        </is>
      </c>
      <c r="I122" s="4" t="inlineStr"/>
    </row>
    <row r="123">
      <c r="A123" s="4" t="inlineStr">
        <is>
          <t>Next level</t>
        </is>
      </c>
      <c r="B123" s="4" t="inlineStr">
        <is>
          <t>Accountability and body doubling</t>
        </is>
      </c>
      <c r="C123" s="4" t="inlineStr">
        <is>
          <t>Short sessions to do money tasks together</t>
        </is>
      </c>
      <c r="D123" s="4" t="inlineStr">
        <is>
          <t>Eli</t>
        </is>
      </c>
      <c r="E123" s="4" t="inlineStr">
        <is>
          <t>Never built into a planning app</t>
        </is>
      </c>
      <c r="F123" s="4" t="inlineStr"/>
      <c r="G123" s="4" t="inlineStr">
        <is>
          <t>6</t>
        </is>
      </c>
      <c r="H123" s="4" t="inlineStr">
        <is>
          <t>No</t>
        </is>
      </c>
      <c r="I123" s="4" t="inlineStr"/>
    </row>
    <row r="124">
      <c r="A124" s="4" t="inlineStr">
        <is>
          <t>Next level</t>
        </is>
      </c>
      <c r="B124" s="4" t="inlineStr">
        <is>
          <t>Shareable milestones with no balances</t>
        </is>
      </c>
      <c r="C124" s="4" t="inlineStr">
        <is>
          <t>Celebrate debt-free or Coast FI without showing numbers</t>
        </is>
      </c>
      <c r="D124" s="4" t="inlineStr">
        <is>
          <t>Eli</t>
        </is>
      </c>
      <c r="E124" s="4" t="inlineStr">
        <is>
          <t>Rarely built</t>
        </is>
      </c>
      <c r="F124" s="4" t="inlineStr"/>
      <c r="G124" s="4" t="inlineStr">
        <is>
          <t>7</t>
        </is>
      </c>
      <c r="H124" s="4" t="inlineStr">
        <is>
          <t>No</t>
        </is>
      </c>
      <c r="I124" s="4" t="inlineStr"/>
    </row>
    <row r="125">
      <c r="A125" s="4" t="inlineStr">
        <is>
          <t>Next level</t>
        </is>
      </c>
      <c r="B125" s="4" t="inlineStr">
        <is>
          <t>Guardrails withdrawal</t>
        </is>
      </c>
      <c r="C125" s="4" t="inlineStr">
        <is>
          <t>Raise or cut spending when the portfolio drifts, with rules</t>
        </is>
      </c>
      <c r="D125" s="4" t="inlineStr">
        <is>
          <t>Jonathan Guyton, William Klinger</t>
        </is>
      </c>
      <c r="E125" s="4" t="inlineStr">
        <is>
          <t>Pro tools only</t>
        </is>
      </c>
      <c r="F125" s="4" t="inlineStr"/>
      <c r="G125" s="4" t="inlineStr">
        <is>
          <t>5</t>
        </is>
      </c>
      <c r="H125" s="4" t="inlineStr">
        <is>
          <t>No</t>
        </is>
      </c>
      <c r="I125" s="4" t="inlineStr"/>
    </row>
    <row r="126">
      <c r="A126" s="4" t="inlineStr">
        <is>
          <t>Next level</t>
        </is>
      </c>
      <c r="B126" s="4" t="inlineStr">
        <is>
          <t>Peer comparison by age</t>
        </is>
      </c>
      <c r="C126" s="4" t="inlineStr">
        <is>
          <t>Where you stand vs people your age and income, privately</t>
        </is>
      </c>
      <c r="D126" s="4" t="inlineStr">
        <is>
          <t>Thomas Stanley; BiggerPockets Money</t>
        </is>
      </c>
      <c r="E126" s="4" t="inlineStr">
        <is>
          <t>Talked about</t>
        </is>
      </c>
      <c r="F126" s="4" t="inlineStr"/>
      <c r="G126" s="4" t="inlineStr">
        <is>
          <t>7</t>
        </is>
      </c>
      <c r="H126" s="4" t="inlineStr">
        <is>
          <t>No</t>
        </is>
      </c>
      <c r="I126" s="4" t="inlineStr"/>
    </row>
    <row r="127">
      <c r="A127" s="4" t="inlineStr">
        <is>
          <t>Next level</t>
        </is>
      </c>
      <c r="B127" s="4" t="inlineStr">
        <is>
          <t>Kakeibo reflection</t>
        </is>
      </c>
      <c r="C127" s="4" t="inlineStr">
        <is>
          <t>Four monthly questions: what you have, want to save, spend, can improve</t>
        </is>
      </c>
      <c r="D127" s="4" t="inlineStr">
        <is>
          <t>Hani Motoko</t>
        </is>
      </c>
      <c r="E127" s="4" t="inlineStr">
        <is>
          <t>Kakeibo</t>
        </is>
      </c>
      <c r="F127" s="4" t="inlineStr"/>
      <c r="G127" s="4" t="inlineStr">
        <is>
          <t>6</t>
        </is>
      </c>
      <c r="H127" s="4" t="inlineStr">
        <is>
          <t>No</t>
        </is>
      </c>
      <c r="I127" s="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9"/>
  <sheetViews>
    <sheetView workbookViewId="0">
      <pane ySplit="2" topLeftCell="A3" activePane="bottomLeft" state="frozen"/>
      <selection pane="bottomLeft" activeCell="A1" sqref="A1"/>
    </sheetView>
  </sheetViews>
  <sheetFormatPr baseColWidth="8" defaultRowHeight="15"/>
  <cols>
    <col width="22" customWidth="1" min="1" max="1"/>
    <col width="14" customWidth="1" min="2" max="2"/>
    <col width="70" customWidth="1" min="3" max="3"/>
    <col width="22" customWidth="1" min="4" max="4"/>
    <col width="26" customWidth="1" min="5" max="5"/>
    <col width="30" customWidth="1" min="6" max="6"/>
    <col width="26" customWidth="1" min="7" max="7"/>
  </cols>
  <sheetData>
    <row r="1">
      <c r="A1" s="1" t="inlineStr">
        <is>
          <t>Every chart and what it looks like</t>
        </is>
      </c>
      <c r="B1" s="2" t="n"/>
      <c r="C1" s="2" t="n"/>
      <c r="D1" s="2" t="n"/>
      <c r="E1" s="2" t="n"/>
      <c r="F1" s="2" t="n"/>
      <c r="G1" s="2" t="n"/>
    </row>
    <row r="2">
      <c r="A2" s="3" t="inlineStr">
        <is>
          <t>Chart</t>
        </is>
      </c>
      <c r="B2" s="3" t="inlineStr">
        <is>
          <t>Type</t>
        </is>
      </c>
      <c r="C2" s="3" t="inlineStr">
        <is>
          <t>What you see</t>
        </is>
      </c>
      <c r="D2" s="3" t="inlineStr">
        <is>
          <t>Reads</t>
        </is>
      </c>
      <c r="E2" s="3" t="inlineStr">
        <is>
          <t>Where it lives</t>
        </is>
      </c>
      <c r="F2" s="3" t="inlineStr">
        <is>
          <t>Interaction</t>
        </is>
      </c>
      <c r="G2" s="3" t="inlineStr">
        <is>
          <t>Time view</t>
        </is>
      </c>
    </row>
    <row r="3">
      <c r="A3" s="4" t="inlineStr">
        <is>
          <t>Net worth donuts</t>
        </is>
      </c>
      <c r="B3" s="4" t="inlineStr">
        <is>
          <t>Rings</t>
        </is>
      </c>
      <c r="C3" s="4" t="inlineStr">
        <is>
          <t>Big ring for net worth split by account type; smaller rings for assets, liabilities, equity; tabs underneath open each list</t>
        </is>
      </c>
      <c r="D3" s="4" t="inlineStr">
        <is>
          <t>Accounts, debts</t>
        </is>
      </c>
      <c r="E3" s="4" t="inlineStr">
        <is>
          <t>Report &gt; Overview</t>
        </is>
      </c>
      <c r="F3" s="4" t="inlineStr">
        <is>
          <t>Hover shows the item; click jumps to its home</t>
        </is>
      </c>
      <c r="G3" s="4" t="inlineStr">
        <is>
          <t>Months of freedom in the center</t>
        </is>
      </c>
    </row>
    <row r="4">
      <c r="A4" s="4" t="inlineStr">
        <is>
          <t>Net worth over time</t>
        </is>
      </c>
      <c r="B4" s="4" t="inlineStr">
        <is>
          <t>Line</t>
        </is>
      </c>
      <c r="C4" s="4" t="inlineStr">
        <is>
          <t>One line per snapshot date; dots where sessions happened; dashed line for liquid net worth</t>
        </is>
      </c>
      <c r="D4" s="4" t="inlineStr">
        <is>
          <t>Snapshots, history</t>
        </is>
      </c>
      <c r="E4" s="4" t="inlineStr">
        <is>
          <t>Report &gt; History</t>
        </is>
      </c>
      <c r="F4" s="4" t="inlineStr">
        <is>
          <t>Drag to zoom a range</t>
        </is>
      </c>
      <c r="G4" s="4" t="inlineStr">
        <is>
          <t>Months of freedom on the second axis</t>
        </is>
      </c>
    </row>
    <row r="5">
      <c r="A5" s="4" t="inlineStr">
        <is>
          <t>Cash flow Sankey</t>
        </is>
      </c>
      <c r="B5" s="4" t="inlineStr">
        <is>
          <t>Sankey</t>
        </is>
      </c>
      <c r="C5" s="4" t="inlineStr">
        <is>
          <t>Income on the left flows into taxes, needs, wants, debt, saving on the right; width = dollars</t>
        </is>
      </c>
      <c r="D5" s="4" t="inlineStr">
        <is>
          <t>Income, spending lines</t>
        </is>
      </c>
      <c r="E5" s="4" t="inlineStr">
        <is>
          <t>Report &gt; Overview</t>
        </is>
      </c>
      <c r="F5" s="4" t="inlineStr">
        <is>
          <t>Click a branch to filter the budget</t>
        </is>
      </c>
      <c r="G5" s="4" t="inlineStr">
        <is>
          <t>Branch width in hours</t>
        </is>
      </c>
    </row>
    <row r="6">
      <c r="A6" s="4" t="inlineStr">
        <is>
          <t>Gross to take-home</t>
        </is>
      </c>
      <c r="B6" s="4" t="inlineStr">
        <is>
          <t>Waterfall</t>
        </is>
      </c>
      <c r="C6" s="4" t="inlineStr">
        <is>
          <t>Gross bar steps down through federal, FICA, pretax deductions to take-home</t>
        </is>
      </c>
      <c r="D6" s="4" t="inlineStr">
        <is>
          <t>Income, Math M10-M12</t>
        </is>
      </c>
      <c r="E6" s="4" t="inlineStr">
        <is>
          <t>My Money &gt; Income</t>
        </is>
      </c>
      <c r="F6" s="4" t="inlineStr">
        <is>
          <t>Hover shows each amount</t>
        </is>
      </c>
      <c r="G6" s="4" t="inlineStr">
        <is>
          <t>Hours of each workday spent on each</t>
        </is>
      </c>
    </row>
    <row r="7">
      <c r="A7" s="4" t="inlineStr">
        <is>
          <t>DRAFTT shares</t>
        </is>
      </c>
      <c r="B7" s="4" t="inlineStr">
        <is>
          <t>100% bar</t>
        </is>
      </c>
      <c r="C7" s="4" t="inlineStr">
        <is>
          <t>One horizontal bar split into Debt, Retirement, Accommodation, Food, Transportation, (Taxes, Therapy)</t>
        </is>
      </c>
      <c r="D7" s="4" t="inlineStr">
        <is>
          <t>Spending lines</t>
        </is>
      </c>
      <c r="E7" s="4" t="inlineStr">
        <is>
          <t>My Money visuals panel, Report</t>
        </is>
      </c>
      <c r="F7" s="4" t="inlineStr">
        <is>
          <t>Click a letter to see its lines</t>
        </is>
      </c>
      <c r="G7" s="4" t="inlineStr">
        <is>
          <t>Hours per letter</t>
        </is>
      </c>
    </row>
    <row r="8">
      <c r="A8" s="4" t="inlineStr">
        <is>
          <t>Amount and timing grid</t>
        </is>
      </c>
      <c r="B8" s="4" t="inlineStr">
        <is>
          <t>2x2 bubbles</t>
        </is>
      </c>
      <c r="C8" s="4" t="inlineStr">
        <is>
          <t>Four boxes (fixed/variable amount x fixed/variable date); bubble size = dollars; bottom-right box shaded as risk</t>
        </is>
      </c>
      <c r="D8" s="4" t="inlineStr">
        <is>
          <t>Spending lines</t>
        </is>
      </c>
      <c r="E8" s="4" t="inlineStr">
        <is>
          <t>Spending &gt; Budget</t>
        </is>
      </c>
      <c r="F8" s="4" t="inlineStr">
        <is>
          <t>Click a box to filter</t>
        </is>
      </c>
      <c r="G8" s="4" t="inlineStr">
        <is>
          <t>Bubble labels in hours</t>
        </is>
      </c>
    </row>
    <row r="9">
      <c r="A9" s="4" t="inlineStr">
        <is>
          <t>Estimate vs actual</t>
        </is>
      </c>
      <c r="B9" s="4" t="inlineStr">
        <is>
          <t>Bullet bars</t>
        </is>
      </c>
      <c r="C9" s="4" t="inlineStr">
        <is>
          <t>Per line: grey estimate bar, solid actual bar, a tick for Gut</t>
        </is>
      </c>
      <c r="D9" s="4" t="inlineStr">
        <is>
          <t>Budget passes</t>
        </is>
      </c>
      <c r="E9" s="4" t="inlineStr">
        <is>
          <t>Spending &gt; Month-end close</t>
        </is>
      </c>
      <c r="F9" s="4" t="inlineStr">
        <is>
          <t>Sort by biggest miss</t>
        </is>
      </c>
      <c r="G9" s="4" t="inlineStr">
        <is>
          <t>Misses in hours</t>
        </is>
      </c>
    </row>
    <row r="10">
      <c r="A10" s="4" t="inlineStr">
        <is>
          <t>Gut accuracy over time</t>
        </is>
      </c>
      <c r="B10" s="4" t="inlineStr">
        <is>
          <t>Line</t>
        </is>
      </c>
      <c r="C10" s="4" t="inlineStr">
        <is>
          <t>Average % off per month falling over time</t>
        </is>
      </c>
      <c r="D10" s="4" t="inlineStr">
        <is>
          <t>History</t>
        </is>
      </c>
      <c r="E10" s="4" t="inlineStr">
        <is>
          <t>Report &gt; History</t>
        </is>
      </c>
      <c r="F10" s="4" t="inlineStr"/>
      <c r="G10" s="4" t="inlineStr"/>
    </row>
    <row r="11">
      <c r="A11" s="4" t="inlineStr">
        <is>
          <t>Running balance</t>
        </is>
      </c>
      <c r="B11" s="4" t="inlineStr">
        <is>
          <t>Line under the calendar</t>
        </is>
      </c>
      <c r="C11" s="4" t="inlineStr">
        <is>
          <t>Thin line of end-of-day balance with the low balance line dashed; maybe money as a dotted band</t>
        </is>
      </c>
      <c r="D11" s="4" t="inlineStr">
        <is>
          <t>Calendar entries</t>
        </is>
      </c>
      <c r="E11" s="4" t="inlineStr">
        <is>
          <t>Spending &gt; Cash flow calendar</t>
        </is>
      </c>
      <c r="F11" s="4" t="inlineStr">
        <is>
          <t>Hover a day</t>
        </is>
      </c>
      <c r="G11" s="4" t="inlineStr">
        <is>
          <t>Days of runway</t>
        </is>
      </c>
    </row>
    <row r="12">
      <c r="A12" s="4" t="inlineStr">
        <is>
          <t>Debt payoff</t>
        </is>
      </c>
      <c r="B12" s="4" t="inlineStr">
        <is>
          <t>Stacked area</t>
        </is>
      </c>
      <c r="C12" s="4" t="inlineStr">
        <is>
          <t>Each debt's balance shrinking to zero; flags at each payoff date</t>
        </is>
      </c>
      <c r="D12" s="4" t="inlineStr">
        <is>
          <t>Debts, Math M34</t>
        </is>
      </c>
      <c r="E12" s="4" t="inlineStr">
        <is>
          <t>Plan &gt; Debt payoff</t>
        </is>
      </c>
      <c r="F12" s="4" t="inlineStr">
        <is>
          <t>Extra payment slider moves the flags</t>
        </is>
      </c>
      <c r="G12" s="4" t="inlineStr">
        <is>
          <t>Interest in hours</t>
        </is>
      </c>
    </row>
    <row r="13">
      <c r="A13" s="4" t="inlineStr">
        <is>
          <t>Payoff order compare</t>
        </is>
      </c>
      <c r="B13" s="4" t="inlineStr">
        <is>
          <t>Grouped bars</t>
        </is>
      </c>
      <c r="C13" s="4" t="inlineStr">
        <is>
          <t>Avalanche vs snowball vs stress: months and total interest side by side</t>
        </is>
      </c>
      <c r="D13" s="4" t="inlineStr">
        <is>
          <t>Math M34</t>
        </is>
      </c>
      <c r="E13" s="4" t="inlineStr">
        <is>
          <t>Plan &gt; Debt payoff</t>
        </is>
      </c>
      <c r="F13" s="4" t="inlineStr"/>
      <c r="G13" s="4" t="inlineStr">
        <is>
          <t>Hours of interest</t>
        </is>
      </c>
    </row>
    <row r="14">
      <c r="A14" s="4" t="inlineStr">
        <is>
          <t>FI timeline</t>
        </is>
      </c>
      <c r="B14" s="4" t="inlineStr">
        <is>
          <t>Line with fan</t>
        </is>
      </c>
      <c r="C14" s="4" t="inlineStr">
        <is>
          <t>Invested balance rising to the FI line; pessimistic to optimistic band; milestone flags</t>
        </is>
      </c>
      <c r="D14" s="4" t="inlineStr">
        <is>
          <t>Math M53</t>
        </is>
      </c>
      <c r="E14" s="4" t="inlineStr">
        <is>
          <t>Plan &gt; Timeline</t>
        </is>
      </c>
      <c r="F14" s="4" t="inlineStr">
        <is>
          <t>Savings slider moves the date</t>
        </is>
      </c>
      <c r="G14" s="4" t="inlineStr">
        <is>
          <t>Years of work left</t>
        </is>
      </c>
    </row>
    <row r="15">
      <c r="A15" s="4" t="inlineStr">
        <is>
          <t>These are big deals</t>
        </is>
      </c>
      <c r="B15" s="4" t="inlineStr">
        <is>
          <t>Tornado</t>
        </is>
      </c>
      <c r="C15" s="4" t="inlineStr">
        <is>
          <t>One bar per assumption showing how far it moves the FI date; biggest on top</t>
        </is>
      </c>
      <c r="D15" s="4" t="inlineStr">
        <is>
          <t>Math M56</t>
        </is>
      </c>
      <c r="E15" s="4" t="inlineStr">
        <is>
          <t>Plan &gt; Goals</t>
        </is>
      </c>
      <c r="F15" s="4" t="inlineStr">
        <is>
          <t>Click a bar to set that preset</t>
        </is>
      </c>
      <c r="G15" s="4" t="inlineStr">
        <is>
          <t>Years per assumption</t>
        </is>
      </c>
    </row>
    <row r="16">
      <c r="A16" s="4" t="inlineStr">
        <is>
          <t>Milestone ladder</t>
        </is>
      </c>
      <c r="B16" s="4" t="inlineStr">
        <is>
          <t>Steps</t>
        </is>
      </c>
      <c r="C16" s="4" t="inlineStr">
        <is>
          <t>Lean, Coast, Barista, Regular, Fat FI as stairs, each filled by %</t>
        </is>
      </c>
      <c r="D16" s="4" t="inlineStr">
        <is>
          <t>Math M55</t>
        </is>
      </c>
      <c r="E16" s="4" t="inlineStr">
        <is>
          <t>Plan &gt; Goals</t>
        </is>
      </c>
      <c r="F16" s="4" t="inlineStr"/>
      <c r="G16" s="4" t="inlineStr">
        <is>
          <t>Months to each step</t>
        </is>
      </c>
    </row>
    <row r="17">
      <c r="A17" s="4" t="inlineStr">
        <is>
          <t>Savings rate to years</t>
        </is>
      </c>
      <c r="B17" s="4" t="inlineStr">
        <is>
          <t>Curve</t>
        </is>
      </c>
      <c r="C17" s="4" t="inlineStr">
        <is>
          <t>MMM's curve of savings rate vs years to FI with your dot on it</t>
        </is>
      </c>
      <c r="D17" s="4" t="inlineStr">
        <is>
          <t>Math</t>
        </is>
      </c>
      <c r="E17" s="4" t="inlineStr">
        <is>
          <t>Plan &gt; Timeline</t>
        </is>
      </c>
      <c r="F17" s="4" t="inlineStr">
        <is>
          <t>Drag your dot</t>
        </is>
      </c>
      <c r="G17" s="4" t="inlineStr">
        <is>
          <t>This is in years</t>
        </is>
      </c>
    </row>
    <row r="18">
      <c r="A18" s="4" t="inlineStr">
        <is>
          <t>Crossover point</t>
        </is>
      </c>
      <c r="B18" s="4" t="inlineStr">
        <is>
          <t>Two lines</t>
        </is>
      </c>
      <c r="C18" s="4" t="inlineStr">
        <is>
          <t>Monthly investment income rising to meet monthly spending (YMOYL wall chart)</t>
        </is>
      </c>
      <c r="D18" s="4" t="inlineStr">
        <is>
          <t>Math</t>
        </is>
      </c>
      <c r="E18" s="4" t="inlineStr">
        <is>
          <t>Plan &gt; Timeline</t>
        </is>
      </c>
      <c r="F18" s="4" t="inlineStr"/>
      <c r="G18" s="4" t="inlineStr"/>
    </row>
    <row r="19">
      <c r="A19" s="4" t="inlineStr">
        <is>
          <t>Fulfillment curve</t>
        </is>
      </c>
      <c r="B19" s="4" t="inlineStr">
        <is>
          <t>Curve</t>
        </is>
      </c>
      <c r="C19" s="4" t="inlineStr">
        <is>
          <t>Survival, comforts, luxuries, enough; each category placed on it</t>
        </is>
      </c>
      <c r="D19" s="4" t="inlineStr">
        <is>
          <t>Three questions</t>
        </is>
      </c>
      <c r="E19" s="4" t="inlineStr">
        <is>
          <t>Spending (phase 4)</t>
        </is>
      </c>
      <c r="F19" s="4" t="inlineStr"/>
      <c r="G19" s="4" t="inlineStr"/>
    </row>
    <row r="20">
      <c r="A20" s="4" t="inlineStr">
        <is>
          <t>Rule of 5 gauge</t>
        </is>
      </c>
      <c r="B20" s="4" t="inlineStr">
        <is>
          <t>Gauge</t>
        </is>
      </c>
      <c r="C20" s="4" t="inlineStr">
        <is>
          <t>Emergency cash vs age/5 months target; keep-pace add shown under it</t>
        </is>
      </c>
      <c r="D20" s="4" t="inlineStr">
        <is>
          <t>Math M43</t>
        </is>
      </c>
      <c r="E20" s="4" t="inlineStr">
        <is>
          <t>My Money &gt; Assets, Home</t>
        </is>
      </c>
      <c r="F20" s="4" t="inlineStr"/>
      <c r="G20" s="4" t="inlineStr">
        <is>
          <t>Months held</t>
        </is>
      </c>
    </row>
    <row r="21">
      <c r="A21" s="4" t="inlineStr">
        <is>
          <t>Graceful degradation</t>
        </is>
      </c>
      <c r="B21" s="4" t="inlineStr">
        <is>
          <t>Staircase</t>
        </is>
      </c>
      <c r="C21" s="4" t="inlineStr">
        <is>
          <t>Months at full spending, DRAFTT, FAT, food and housing only</t>
        </is>
      </c>
      <c r="D21" s="4" t="inlineStr">
        <is>
          <t>Math</t>
        </is>
      </c>
      <c r="E21" s="4" t="inlineStr">
        <is>
          <t>Report (phase 4)</t>
        </is>
      </c>
      <c r="F21" s="4" t="inlineStr"/>
      <c r="G21" s="4" t="inlineStr">
        <is>
          <t>Months at each step</t>
        </is>
      </c>
    </row>
    <row r="22">
      <c r="A22" s="4" t="inlineStr">
        <is>
          <t>Joy per dollar</t>
        </is>
      </c>
      <c r="B22" s="4" t="inlineStr">
        <is>
          <t>Scatter</t>
        </is>
      </c>
      <c r="C22" s="4" t="inlineStr">
        <is>
          <t>Cost on x, happiness on y; top-left = cheap joy, bottom-right = expensive and joyless</t>
        </is>
      </c>
      <c r="D22" s="4" t="inlineStr">
        <is>
          <t>Happiness ratings</t>
        </is>
      </c>
      <c r="E22" s="4" t="inlineStr">
        <is>
          <t>Spending (phase 4)</t>
        </is>
      </c>
      <c r="F22" s="4" t="inlineStr">
        <is>
          <t>Click a dot to open the line</t>
        </is>
      </c>
      <c r="G22" s="4" t="inlineStr">
        <is>
          <t>Cost in hours</t>
        </is>
      </c>
    </row>
    <row r="23">
      <c r="A23" s="4" t="inlineStr">
        <is>
          <t>Pareto</t>
        </is>
      </c>
      <c r="B23" s="4" t="inlineStr">
        <is>
          <t>Bars plus line</t>
        </is>
      </c>
      <c r="C23" s="4" t="inlineStr">
        <is>
          <t>Biggest spends as bars with the cumulative % line</t>
        </is>
      </c>
      <c r="D23" s="4" t="inlineStr">
        <is>
          <t>Calendar actuals</t>
        </is>
      </c>
      <c r="E23" s="4" t="inlineStr">
        <is>
          <t>Report (phase 4)</t>
        </is>
      </c>
      <c r="F23" s="4" t="inlineStr"/>
      <c r="G23" s="4" t="inlineStr">
        <is>
          <t>Hours per spend</t>
        </is>
      </c>
    </row>
    <row r="24">
      <c r="A24" s="4" t="inlineStr">
        <is>
          <t>Life Pyramid</t>
        </is>
      </c>
      <c r="B24" s="4" t="inlineStr">
        <is>
          <t>Pyramid bars</t>
        </is>
      </c>
      <c r="C24" s="4" t="inlineStr">
        <is>
          <t>Maslow levels as bars showing spending at each</t>
        </is>
      </c>
      <c r="D24" s="4" t="inlineStr">
        <is>
          <t>Spending lines</t>
        </is>
      </c>
      <c r="E24" s="4" t="inlineStr">
        <is>
          <t>Report (phase 4)</t>
        </is>
      </c>
      <c r="F24" s="4" t="inlineStr"/>
      <c r="G24" s="4" t="inlineStr"/>
    </row>
    <row r="25">
      <c r="A25" s="4" t="inlineStr">
        <is>
          <t>Support received</t>
        </is>
      </c>
      <c r="B25" s="4" t="inlineStr">
        <is>
          <t>Stacked bar</t>
        </is>
      </c>
      <c r="C25" s="4" t="inlineStr">
        <is>
          <t>Your share vs others' share for each covered line</t>
        </is>
      </c>
      <c r="D25" s="4" t="inlineStr">
        <is>
          <t>Who pays</t>
        </is>
      </c>
      <c r="E25" s="4" t="inlineStr">
        <is>
          <t>Report &gt; Overview</t>
        </is>
      </c>
      <c r="F25" s="4" t="inlineStr"/>
      <c r="G25" s="4" t="inlineStr">
        <is>
          <t>Hours others cover</t>
        </is>
      </c>
    </row>
    <row r="26">
      <c r="A26" s="4" t="inlineStr">
        <is>
          <t>Contribution limits</t>
        </is>
      </c>
      <c r="B26" s="4" t="inlineStr">
        <is>
          <t>Progress bars</t>
        </is>
      </c>
      <c r="C26" s="4" t="inlineStr">
        <is>
          <t>Each account's year-to-date vs its limit</t>
        </is>
      </c>
      <c r="D26" s="4" t="inlineStr">
        <is>
          <t>Reference data</t>
        </is>
      </c>
      <c r="E26" s="4" t="inlineStr">
        <is>
          <t>My Money &gt; Assets</t>
        </is>
      </c>
      <c r="F26" s="4" t="inlineStr"/>
      <c r="G26" s="4" t="inlineStr"/>
    </row>
    <row r="27">
      <c r="A27" s="4" t="inlineStr">
        <is>
          <t>Expected net worth</t>
        </is>
      </c>
      <c r="B27" s="4" t="inlineStr">
        <is>
          <t>Gauge</t>
        </is>
      </c>
      <c r="C27" s="4" t="inlineStr">
        <is>
          <t>Actual net worth vs age x income / 10</t>
        </is>
      </c>
      <c r="D27" s="4" t="inlineStr">
        <is>
          <t>PAW/UAW formula</t>
        </is>
      </c>
      <c r="E27" s="4" t="inlineStr">
        <is>
          <t>Report (phase 4)</t>
        </is>
      </c>
      <c r="F27" s="4" t="inlineStr"/>
      <c r="G27" s="4" t="inlineStr"/>
    </row>
    <row r="28">
      <c r="A28" s="4" t="inlineStr">
        <is>
          <t>Money as time chips</t>
        </is>
      </c>
      <c r="B28" s="4" t="inlineStr">
        <is>
          <t>Inline chips</t>
        </is>
      </c>
      <c r="C28" s="4" t="inlineStr">
        <is>
          <t>Small grey chip next to any amount: '14 hrs' or '3 FI days'</t>
        </is>
      </c>
      <c r="D28" s="4" t="inlineStr">
        <is>
          <t>Real hourly wage</t>
        </is>
      </c>
      <c r="E28" s="4" t="inlineStr">
        <is>
          <t>Everywhere</t>
        </is>
      </c>
      <c r="F28" s="4" t="inlineStr">
        <is>
          <t>Global toggle</t>
        </is>
      </c>
      <c r="G28" s="4" t="inlineStr">
        <is>
          <t>This is the time view</t>
        </is>
      </c>
    </row>
    <row r="29">
      <c r="A29" s="4" t="inlineStr">
        <is>
          <t>Wrapped</t>
        </is>
      </c>
      <c r="B29" s="4" t="inlineStr">
        <is>
          <t>Story cards</t>
        </is>
      </c>
      <c r="C29" s="4" t="inlineStr">
        <is>
          <t>Swipeable cards: biggest win, debt paid, accuracy, top categories, hours saved</t>
        </is>
      </c>
      <c r="D29" s="4" t="inlineStr">
        <is>
          <t>History</t>
        </is>
      </c>
      <c r="E29" s="4" t="inlineStr">
        <is>
          <t>Report (phase 7)</t>
        </is>
      </c>
      <c r="F29" s="4" t="inlineStr"/>
      <c r="G29" s="4" t="inlineStr">
        <is>
          <t>Hours saved this year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4"/>
  <sheetViews>
    <sheetView workbookViewId="0">
      <pane ySplit="2" topLeftCell="A3" activePane="bottomLeft" state="frozen"/>
      <selection pane="bottomLeft" activeCell="A1" sqref="A1"/>
    </sheetView>
  </sheetViews>
  <sheetFormatPr baseColWidth="8" defaultRowHeight="15"/>
  <cols>
    <col width="7" customWidth="1" min="1" max="1"/>
    <col width="22" customWidth="1" min="2" max="2"/>
    <col width="80" customWidth="1" min="3" max="3"/>
    <col width="60" customWidth="1" min="4" max="4"/>
  </cols>
  <sheetData>
    <row r="1">
      <c r="A1" s="1" t="inlineStr">
        <is>
          <t>Build phases, in dependency order</t>
        </is>
      </c>
      <c r="B1" s="2" t="n"/>
      <c r="C1" s="2" t="n"/>
      <c r="D1" s="2" t="n"/>
    </row>
    <row r="2">
      <c r="A2" s="3" t="inlineStr">
        <is>
          <t>Phase</t>
        </is>
      </c>
      <c r="B2" s="3" t="inlineStr">
        <is>
          <t>Name</t>
        </is>
      </c>
      <c r="C2" s="3" t="inlineStr">
        <is>
          <t>What gets built</t>
        </is>
      </c>
      <c r="D2" s="3" t="inlineStr">
        <is>
          <t>Done when</t>
        </is>
      </c>
    </row>
    <row r="3">
      <c r="A3" s="4" t="inlineStr">
        <is>
          <t>0</t>
        </is>
      </c>
      <c r="B3" s="4" t="inlineStr">
        <is>
          <t>Setup</t>
        </is>
      </c>
      <c r="C3" s="4" t="inlineStr">
        <is>
          <t>New repo, /spec from this workbook (one CSV per tab), test runner, .gitignore for fixtures/*.local.json</t>
        </is>
      </c>
      <c r="D3" s="4" t="inlineStr">
        <is>
          <t>Repo runs locally; spec files exist; Test client is NOT in git</t>
        </is>
      </c>
    </row>
    <row r="4">
      <c r="A4" s="4" t="inlineStr">
        <is>
          <t>1</t>
        </is>
      </c>
      <c r="B4" s="4" t="inlineStr">
        <is>
          <t>Records and storage</t>
        </is>
      </c>
      <c r="C4" s="4" t="inlineStr">
        <is>
          <t>One record type, dated history on every change, autosave, undo/redo, snapshots, export/import</t>
        </is>
      </c>
      <c r="D4" s="4" t="inlineStr">
        <is>
          <t>Unit tests: add, edit, delete, undo, history, export → import round-trips</t>
        </is>
      </c>
    </row>
    <row r="5">
      <c r="A5" s="4" t="inlineStr">
        <is>
          <t>2</t>
        </is>
      </c>
      <c r="B5" s="4" t="inlineStr">
        <is>
          <t>Math engine</t>
        </is>
      </c>
      <c r="C5" s="4" t="inlineStr">
        <is>
          <t>Every Math tab formula as a pure function with tests</t>
        </is>
      </c>
      <c r="D5" s="4" t="inlineStr">
        <is>
          <t>All Test client expected values match within $1 or 1 month</t>
        </is>
      </c>
    </row>
    <row r="6">
      <c r="A6" s="4" t="inlineStr">
        <is>
          <t>3</t>
        </is>
      </c>
      <c r="B6" s="4" t="inlineStr">
        <is>
          <t>Staples</t>
        </is>
      </c>
      <c r="C6" s="4" t="inlineStr">
        <is>
          <t>All Staples tab pieces on one demo page</t>
        </is>
      </c>
      <c r="D6" s="4" t="inlineStr">
        <is>
          <t>Each staple works on the demo page; affordances pass (buttons look like buttons)</t>
        </is>
      </c>
    </row>
    <row r="7">
      <c r="A7" s="4" t="inlineStr">
        <is>
          <t>4</t>
        </is>
      </c>
      <c r="B7" s="4" t="inlineStr">
        <is>
          <t>Shell and navigation</t>
        </is>
      </c>
      <c r="C7" s="4" t="inlineStr">
        <is>
          <t>Top bar (left, middle, right), 5 tabs, sub-tabs, breadcrumb, Find, quick add, parking lot, client view, gear</t>
        </is>
      </c>
      <c r="D7" s="4" t="inlineStr">
        <is>
          <t>Trunk test passes on every empty screen</t>
        </is>
      </c>
    </row>
    <row r="8">
      <c r="A8" s="4" t="inlineStr">
        <is>
          <t>5</t>
        </is>
      </c>
      <c r="B8" s="4" t="inlineStr">
        <is>
          <t>My Money</t>
        </is>
      </c>
      <c r="C8" s="4" t="inlineStr">
        <is>
          <t>Profile with gates hub, Income, Debt, Assets, Protection, Taxes; Fast Track mode; One page toggle; visuals panel</t>
        </is>
      </c>
      <c r="D8" s="4" t="inlineStr">
        <is>
          <t>Your test client can be entered start to finish; gates add and remove sections</t>
        </is>
      </c>
    </row>
    <row r="9">
      <c r="A9" s="4" t="inlineStr">
        <is>
          <t>6</t>
        </is>
      </c>
      <c r="B9" s="4" t="inlineStr">
        <is>
          <t>Spending</t>
        </is>
      </c>
      <c r="C9" s="4" t="inlineStr">
        <is>
          <t>Budget with five passes, fixed/variable and timing tags, who pays, bulk select, link to card, irregular costs; calendar; month-end close</t>
        </is>
      </c>
      <c r="D9" s="4" t="inlineStr">
        <is>
          <t>A full month can be planned, logged and closed for the test client</t>
        </is>
      </c>
    </row>
    <row r="10">
      <c r="A10" s="4" t="inlineStr">
        <is>
          <t>7</t>
        </is>
      </c>
      <c r="B10" s="4" t="inlineStr">
        <is>
          <t>Plan</t>
        </is>
      </c>
      <c r="C10" s="4" t="inlineStr">
        <is>
          <t>Goals with presets, big-deals card, milestones, timeline, debt payoff, next 12 months, solvers</t>
        </is>
      </c>
      <c r="D10" s="4" t="inlineStr">
        <is>
          <t>FI dates match the Test client expected values</t>
        </is>
      </c>
    </row>
    <row r="11">
      <c r="A11" s="4" t="inlineStr">
        <is>
          <t>8</t>
        </is>
      </c>
      <c r="B11" s="4" t="inlineStr">
        <is>
          <t>Report</t>
        </is>
      </c>
      <c r="C11" s="4" t="inlineStr">
        <is>
          <t>Overview (donuts, metrics shelf, Sankey), one-pager, history</t>
        </is>
      </c>
      <c r="D11" s="4" t="inlineStr">
        <is>
          <t>Every number links to its home</t>
        </is>
      </c>
    </row>
    <row r="12">
      <c r="A12" s="4" t="inlineStr">
        <is>
          <t>9</t>
        </is>
      </c>
      <c r="B12" s="4" t="inlineStr">
        <is>
          <t>Home</t>
        </is>
      </c>
      <c r="C12" s="4" t="inlineStr">
        <is>
          <t>Prep, Live, Wrap-up with one main button each</t>
        </is>
      </c>
      <c r="D12" s="4" t="inlineStr">
        <is>
          <t>A mock session runs from Start session to Send summary</t>
        </is>
      </c>
    </row>
    <row r="13">
      <c r="A13" s="4" t="inlineStr">
        <is>
          <t>10</t>
        </is>
      </c>
      <c r="B13" s="4" t="inlineStr">
        <is>
          <t>Coach tools and discovery</t>
        </is>
      </c>
      <c r="C13" s="4" t="inlineStr">
        <is>
          <t>Revisit list, homework, snapshots, export, reset, notes, discovery table, new client</t>
        </is>
      </c>
      <c r="D13" s="4" t="inlineStr">
        <is>
          <t>New client from discovery opens Home in Prep</t>
        </is>
      </c>
    </row>
    <row r="14">
      <c r="A14" s="4" t="inlineStr">
        <is>
          <t>11</t>
        </is>
      </c>
      <c r="B14" s="4" t="inlineStr">
        <is>
          <t>Dry run</t>
        </is>
      </c>
      <c r="C14" s="4" t="inlineStr">
        <is>
          <t>Full fake session 1 end to end; screenshots; QUESTIONS.md</t>
        </is>
      </c>
      <c r="D14" s="4" t="inlineStr">
        <is>
          <t>You do one real run-through and log every 'where do I put this'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4"/>
  <sheetViews>
    <sheetView workbookViewId="0">
      <pane ySplit="2" topLeftCell="A3" activePane="bottomLeft" state="frozen"/>
      <selection pane="bottomLeft" activeCell="A1" sqref="A1"/>
    </sheetView>
  </sheetViews>
  <sheetFormatPr baseColWidth="8" defaultRowHeight="15"/>
  <cols>
    <col width="10" customWidth="1" min="1" max="1"/>
    <col width="16" customWidth="1" min="2" max="2"/>
    <col width="50" customWidth="1" min="3" max="3"/>
    <col width="80" customWidth="1" min="4" max="4"/>
  </cols>
  <sheetData>
    <row r="1">
      <c r="A1" s="1" t="inlineStr">
        <is>
          <t>How you'll check each phase</t>
        </is>
      </c>
      <c r="B1" s="2" t="n"/>
      <c r="C1" s="2" t="n"/>
      <c r="D1" s="2" t="n"/>
    </row>
    <row r="2">
      <c r="A2" s="3" t="inlineStr">
        <is>
          <t>Build phase</t>
        </is>
      </c>
      <c r="B2" s="3" t="inlineStr">
        <is>
          <t>Name</t>
        </is>
      </c>
      <c r="C2" s="3" t="inlineStr">
        <is>
          <t>What you do</t>
        </is>
      </c>
      <c r="D2" s="3" t="inlineStr">
        <is>
          <t>What you should see</t>
        </is>
      </c>
    </row>
    <row r="3">
      <c r="A3" s="4" t="inlineStr">
        <is>
          <t>0</t>
        </is>
      </c>
      <c r="B3" s="4" t="inlineStr">
        <is>
          <t>Setup</t>
        </is>
      </c>
      <c r="C3" s="4" t="inlineStr">
        <is>
          <t>Open the repo on GitHub</t>
        </is>
      </c>
      <c r="D3" s="4" t="inlineStr">
        <is>
          <t>spec/csv has one file per tab; .gitignore lists fixtures/*.local.json; no real numbers anywhere</t>
        </is>
      </c>
    </row>
    <row r="4">
      <c r="A4" s="4" t="inlineStr">
        <is>
          <t>1</t>
        </is>
      </c>
      <c r="B4" s="4" t="inlineStr">
        <is>
          <t>Records</t>
        </is>
      </c>
      <c r="C4" s="4" t="inlineStr">
        <is>
          <t>Run the tests (Claude Code reports them); open the staples page later</t>
        </is>
      </c>
      <c r="D4" s="4" t="inlineStr">
        <is>
          <t>Add, edit, delete, undo, history and export/import tests pass</t>
        </is>
      </c>
    </row>
    <row r="5">
      <c r="A5" s="4" t="inlineStr">
        <is>
          <t>2</t>
        </is>
      </c>
      <c r="B5" s="4" t="inlineStr">
        <is>
          <t>Math</t>
        </is>
      </c>
      <c r="C5" s="4" t="inlineStr">
        <is>
          <t>Read the report's match table</t>
        </is>
      </c>
      <c r="D5" s="4" t="inlineStr">
        <is>
          <t>Every Demo client and Test client expected value matches within $1 or 1 month</t>
        </is>
      </c>
    </row>
    <row r="6">
      <c r="A6" s="4" t="inlineStr">
        <is>
          <t>3</t>
        </is>
      </c>
      <c r="B6" s="4" t="inlineStr">
        <is>
          <t>Staples</t>
        </is>
      </c>
      <c r="C6" s="4" t="inlineStr">
        <is>
          <t>Open the staples demo page</t>
        </is>
      </c>
      <c r="D6" s="4" t="inlineStr">
        <is>
          <t>Every staple from the Staples tab is there; it looks like the approved preview page; every box in a row lines up; time toggle changes amounts</t>
        </is>
      </c>
    </row>
    <row r="7">
      <c r="A7" s="4" t="inlineStr">
        <is>
          <t>4</t>
        </is>
      </c>
      <c r="B7" s="4" t="inlineStr">
        <is>
          <t>Shell</t>
        </is>
      </c>
      <c r="C7" s="4" t="inlineStr">
        <is>
          <t>Click every tab and sub-tab; drop yourself on a random screen</t>
        </is>
      </c>
      <c r="D7" s="4" t="inlineStr">
        <is>
          <t>Trunk test: site, client, page, sections, search all visible; nothing says $0; empty states read like the Words tab</t>
        </is>
      </c>
    </row>
    <row r="8">
      <c r="A8" s="4" t="inlineStr">
        <is>
          <t>5</t>
        </is>
      </c>
      <c r="B8" s="4" t="inlineStr">
        <is>
          <t>My Money</t>
        </is>
      </c>
      <c r="C8" s="4" t="inlineStr">
        <is>
          <t>Enter your own numbers with Fast Track, then in full</t>
        </is>
      </c>
      <c r="D8" s="4" t="inlineStr">
        <is>
          <t>Under 5 minutes for Fast Track; gates add and remove sections; car loan shows on Assets and Debt</t>
        </is>
      </c>
    </row>
    <row r="9">
      <c r="A9" s="4" t="inlineStr">
        <is>
          <t>6</t>
        </is>
      </c>
      <c r="B9" s="4" t="inlineStr">
        <is>
          <t>Spending</t>
        </is>
      </c>
      <c r="C9" s="4" t="inlineStr">
        <is>
          <t>Plan, log and close one month</t>
        </is>
      </c>
      <c r="D9" s="4" t="inlineStr">
        <is>
          <t>Calendar balance matches the budget; Partial and Maybe behave; bulk select links bills to a card in 3 clicks</t>
        </is>
      </c>
    </row>
    <row r="10">
      <c r="A10" s="4" t="inlineStr">
        <is>
          <t>7</t>
        </is>
      </c>
      <c r="B10" s="4" t="inlineStr">
        <is>
          <t>Plan</t>
        </is>
      </c>
      <c r="C10" s="4" t="inlineStr">
        <is>
          <t>Change presets on the big-deals card</t>
        </is>
      </c>
      <c r="D10" s="4" t="inlineStr">
        <is>
          <t>FI date matches the expected values; tornado names the biggest mover</t>
        </is>
      </c>
    </row>
    <row r="11">
      <c r="A11" s="4" t="inlineStr">
        <is>
          <t>8</t>
        </is>
      </c>
      <c r="B11" s="4" t="inlineStr">
        <is>
          <t>Report</t>
        </is>
      </c>
      <c r="C11" s="4" t="inlineStr">
        <is>
          <t>Click every number</t>
        </is>
      </c>
      <c r="D11" s="4" t="inlineStr">
        <is>
          <t>Each number opens its home</t>
        </is>
      </c>
    </row>
    <row r="12">
      <c r="A12" s="4" t="inlineStr">
        <is>
          <t>9</t>
        </is>
      </c>
      <c r="B12" s="4" t="inlineStr">
        <is>
          <t>Home</t>
        </is>
      </c>
      <c r="C12" s="4" t="inlineStr">
        <is>
          <t>Run Start session to Send summary</t>
        </is>
      </c>
      <c r="D12" s="4" t="inlineStr">
        <is>
          <t>One main button per moment; wrap-up does all four steps</t>
        </is>
      </c>
    </row>
    <row r="13">
      <c r="A13" s="4" t="inlineStr">
        <is>
          <t>10</t>
        </is>
      </c>
      <c r="B13" s="4" t="inlineStr">
        <is>
          <t>Coach tools</t>
        </is>
      </c>
      <c r="C13" s="4" t="inlineStr">
        <is>
          <t>Create a client from discovery</t>
        </is>
      </c>
      <c r="D13" s="4" t="inlineStr">
        <is>
          <t>Opens Home in Prep with the discovery numbers marked Roughly</t>
        </is>
      </c>
    </row>
    <row r="14">
      <c r="A14" s="4" t="inlineStr">
        <is>
          <t>11</t>
        </is>
      </c>
      <c r="B14" s="4" t="inlineStr">
        <is>
          <t>Dry run</t>
        </is>
      </c>
      <c r="C14" s="4" t="inlineStr">
        <is>
          <t>A full fake session 1</t>
        </is>
      </c>
      <c r="D14" s="4" t="inlineStr">
        <is>
          <t>Your 'where do I put this' list is empty, or becomes the next prompt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44"/>
  <sheetViews>
    <sheetView workbookViewId="0">
      <pane ySplit="2" topLeftCell="A3" activePane="bottomLeft" state="frozen"/>
      <selection pane="bottomLeft" activeCell="A1" sqref="A1"/>
    </sheetView>
  </sheetViews>
  <sheetFormatPr baseColWidth="8" defaultRowHeight="15"/>
  <cols>
    <col width="24" customWidth="1" min="1" max="1"/>
    <col width="70" customWidth="1" min="2" max="2"/>
    <col width="44" customWidth="1" min="3" max="3"/>
    <col width="12" customWidth="1" min="4" max="4"/>
  </cols>
  <sheetData>
    <row r="1">
      <c r="A1" s="1" t="inlineStr">
        <is>
          <t>Look and feel (proposed values marked)</t>
        </is>
      </c>
      <c r="B1" s="2" t="n"/>
      <c r="C1" s="2" t="n"/>
      <c r="D1" s="2" t="n"/>
    </row>
    <row r="2">
      <c r="A2" s="3" t="inlineStr">
        <is>
          <t>Item</t>
        </is>
      </c>
      <c r="B2" s="3" t="inlineStr">
        <is>
          <t>Value</t>
        </is>
      </c>
      <c r="C2" s="3" t="inlineStr">
        <is>
          <t>Used for</t>
        </is>
      </c>
      <c r="D2" s="3" t="inlineStr">
        <is>
          <t>Status</t>
        </is>
      </c>
    </row>
    <row r="3">
      <c r="A3" s="5" t="inlineStr">
        <is>
          <t>COLORS (from the preview, Oct 28, version 3)</t>
        </is>
      </c>
      <c r="B3" s="6" t="n"/>
      <c r="C3" s="6" t="n"/>
      <c r="D3" s="6" t="n"/>
    </row>
    <row r="4">
      <c r="A4" s="4" t="inlineStr">
        <is>
          <t>Modes</t>
        </is>
      </c>
      <c r="B4" s="4" t="inlineStr">
        <is>
          <t>Light and dark, both designed. Follows the computer's setting, with a Light | Dark switch in settings</t>
        </is>
      </c>
      <c r="C4" s="4" t="inlineStr"/>
      <c r="D4" s="4" t="inlineStr">
        <is>
          <t>Decided (your feedback)</t>
        </is>
      </c>
    </row>
    <row r="5">
      <c r="A5" s="4" t="inlineStr">
        <is>
          <t>Page background</t>
        </is>
      </c>
      <c r="B5" s="4" t="inlineStr">
        <is>
          <t>Light: #E4E9F2 soft blue-grey (not bright white). Dark: #0E1729</t>
        </is>
      </c>
      <c r="C5" s="4" t="inlineStr"/>
      <c r="D5" s="4" t="inlineStr">
        <is>
          <t>Decided (your feedback)</t>
        </is>
      </c>
    </row>
    <row r="6">
      <c r="A6" s="4" t="inlineStr">
        <is>
          <t>Cards and rows</t>
        </is>
      </c>
      <c r="B6" s="4" t="inlineStr">
        <is>
          <t>Light: #F2F5FA. Dark: #16223D</t>
        </is>
      </c>
      <c r="C6" s="4" t="inlineStr"/>
      <c r="D6" s="4" t="inlineStr">
        <is>
          <t>Decided</t>
        </is>
      </c>
    </row>
    <row r="7">
      <c r="A7" s="4" t="inlineStr">
        <is>
          <t>Text</t>
        </is>
      </c>
      <c r="B7" s="4" t="inlineStr">
        <is>
          <t>Light: #060E1F, weight 500. Dark: #F4F7FC</t>
        </is>
      </c>
      <c r="C7" s="4" t="inlineStr">
        <is>
          <t>High contrast</t>
        </is>
      </c>
      <c r="D7" s="4" t="inlineStr">
        <is>
          <t>Decided (your feedback)</t>
        </is>
      </c>
    </row>
    <row r="8">
      <c r="A8" s="4" t="inlineStr">
        <is>
          <t>Secondary text</t>
        </is>
      </c>
      <c r="B8" s="4" t="inlineStr">
        <is>
          <t>Light: #26344F. Dark: #CBD6EA</t>
        </is>
      </c>
      <c r="C8" s="4" t="inlineStr"/>
      <c r="D8" s="4" t="inlineStr">
        <is>
          <t>Decided</t>
        </is>
      </c>
    </row>
    <row r="9">
      <c r="A9" s="4" t="inlineStr">
        <is>
          <t>Primary (sapphire)</t>
        </is>
      </c>
      <c r="B9" s="4" t="inlineStr">
        <is>
          <t>Light: #1747A6. Dark: #7AA6F5 with dark text on it</t>
        </is>
      </c>
      <c r="C9" s="4" t="inlineStr">
        <is>
          <t>Main buttons, current tab and sub-tab</t>
        </is>
      </c>
      <c r="D9" s="4" t="inlineStr">
        <is>
          <t>Decided</t>
        </is>
      </c>
    </row>
    <row r="10">
      <c r="A10" s="4" t="inlineStr">
        <is>
          <t>Primary dark</t>
        </is>
      </c>
      <c r="B10" s="4" t="inlineStr">
        <is>
          <t>Light: #0A2A66. Dark: #06142F</t>
        </is>
      </c>
      <c r="C10" s="4" t="inlineStr">
        <is>
          <t>Top bar, warnings</t>
        </is>
      </c>
      <c r="D10" s="4" t="inlineStr">
        <is>
          <t>Decided</t>
        </is>
      </c>
    </row>
    <row r="11">
      <c r="A11" s="4" t="inlineStr">
        <is>
          <t>Primary light</t>
        </is>
      </c>
      <c r="B11" s="4" t="inlineStr">
        <is>
          <t>Light: #9FB9EA. Dark: #2C4A85</t>
        </is>
      </c>
      <c r="C11" s="4" t="inlineStr">
        <is>
          <t>Selected rows (deeper than before)</t>
        </is>
      </c>
      <c r="D11" s="4" t="inlineStr">
        <is>
          <t>Decided (your feedback)</t>
        </is>
      </c>
    </row>
    <row r="12">
      <c r="A12" s="4" t="inlineStr">
        <is>
          <t>Computed fill</t>
        </is>
      </c>
      <c r="B12" s="4" t="inlineStr">
        <is>
          <t>Light: #CBD6EA. Dark: #24365C</t>
        </is>
      </c>
      <c r="C12" s="4" t="inlineStr">
        <is>
          <t>Can't be typed in; text stays dark/light</t>
        </is>
      </c>
      <c r="D12" s="4" t="inlineStr">
        <is>
          <t>Decided</t>
        </is>
      </c>
    </row>
    <row r="13">
      <c r="A13" s="4" t="inlineStr">
        <is>
          <t>Borders</t>
        </is>
      </c>
      <c r="B13" s="4" t="inlineStr">
        <is>
          <t>Light: #4E6694 on inputs and buttons, #A9B9D6 row lines. Dark: #8AA2CF and #344A75</t>
        </is>
      </c>
      <c r="C13" s="4" t="inlineStr"/>
      <c r="D13" s="4" t="inlineStr">
        <is>
          <t>Decided</t>
        </is>
      </c>
    </row>
    <row r="14">
      <c r="A14" s="4" t="inlineStr">
        <is>
          <t>Small icon buttons</t>
        </is>
      </c>
      <c r="B14" s="4" t="inlineStr">
        <is>
          <t>32px, 2px dark outline, bold 17px icon. Top bar: solid white with navy icon</t>
        </is>
      </c>
      <c r="C14" s="4" t="inlineStr">
        <is>
          <t>Undo, duplicate, reset, delete must be easy to spot</t>
        </is>
      </c>
      <c r="D14" s="4" t="inlineStr">
        <is>
          <t>Decided (your feedback)</t>
        </is>
      </c>
    </row>
    <row r="15">
      <c r="A15" s="4" t="inlineStr">
        <is>
          <t>Area hues</t>
        </is>
      </c>
      <c r="B15" s="4" t="inlineStr">
        <is>
          <t>Income green #0B7A43 · Debt plum #8E2C8F · Assets teal #0E6670 · Taxes indigo #4338CA · Needs sapphire #1747A6 · Goals rose #B0397A (lighter versions in dark mode)</t>
        </is>
      </c>
      <c r="C15" s="4" t="inlineStr">
        <is>
          <t>Sub-tab dots, section titles, charts</t>
        </is>
      </c>
      <c r="D15" s="4" t="inlineStr">
        <is>
          <t>Decided (your 'other hues')</t>
        </is>
      </c>
    </row>
    <row r="16">
      <c r="A16" s="4" t="inlineStr">
        <is>
          <t>Status: Roughly</t>
        </is>
      </c>
      <c r="B16" s="4" t="inlineStr">
        <is>
          <t>Solid teal pill, white text</t>
        </is>
      </c>
      <c r="C16" s="4" t="inlineStr"/>
      <c r="D16" s="4" t="inlineStr">
        <is>
          <t>Decided</t>
        </is>
      </c>
    </row>
    <row r="17">
      <c r="A17" s="4" t="inlineStr">
        <is>
          <t>Status: Guess</t>
        </is>
      </c>
      <c r="B17" s="4" t="inlineStr">
        <is>
          <t>Solid purple pill, white text</t>
        </is>
      </c>
      <c r="C17" s="4" t="inlineStr"/>
      <c r="D17" s="4" t="inlineStr">
        <is>
          <t>Decided</t>
        </is>
      </c>
    </row>
    <row r="18">
      <c r="A18" s="4" t="inlineStr">
        <is>
          <t>Warnings</t>
        </is>
      </c>
      <c r="B18" s="4" t="inlineStr">
        <is>
          <t>Solid navy pill, white text. No yellow, orange or red anywhere</t>
        </is>
      </c>
      <c r="C18" s="4" t="inlineStr"/>
      <c r="D18" s="4" t="inlineStr">
        <is>
          <t>Decided</t>
        </is>
      </c>
    </row>
    <row r="19">
      <c r="A19" s="4" t="inlineStr">
        <is>
          <t>Good</t>
        </is>
      </c>
      <c r="B19" s="4" t="inlineStr">
        <is>
          <t>#0B7A43</t>
        </is>
      </c>
      <c r="C19" s="4" t="inlineStr">
        <is>
          <t>Wins, done</t>
        </is>
      </c>
      <c r="D19" s="4" t="inlineStr">
        <is>
          <t>Decided</t>
        </is>
      </c>
    </row>
    <row r="20">
      <c r="A20" s="5" t="inlineStr">
        <is>
          <t>TYPE AND SIZE</t>
        </is>
      </c>
      <c r="B20" s="6" t="n"/>
      <c r="C20" s="6" t="n"/>
      <c r="D20" s="6" t="n"/>
    </row>
    <row r="21">
      <c r="A21" s="4" t="inlineStr">
        <is>
          <t>Font</t>
        </is>
      </c>
      <c r="B21" s="4" t="inlineStr">
        <is>
          <t>Inter (Google Fonts), fallback system sans-serif; IBM Plex Sans and Source Sans 3 tried as options</t>
        </is>
      </c>
      <c r="C21" s="4" t="inlineStr">
        <is>
          <t>One font everywhere</t>
        </is>
      </c>
      <c r="D21" s="4" t="inlineStr">
        <is>
          <t>Proposed (pick one in the preview)</t>
        </is>
      </c>
    </row>
    <row r="22">
      <c r="A22" s="4" t="inlineStr">
        <is>
          <t>Sizes</t>
        </is>
      </c>
      <c r="B22" s="4" t="inlineStr">
        <is>
          <t>Body 16px weight 500 · labels 14px weight 600 · section titles 18px · page titles 24px · big numbers 32px</t>
        </is>
      </c>
      <c r="C22" s="4" t="inlineStr">
        <is>
          <t>Bigger and more solid than the first proposal</t>
        </is>
      </c>
      <c r="D22" s="4" t="inlineStr">
        <is>
          <t>Decided (your feedback)</t>
        </is>
      </c>
    </row>
    <row r="23">
      <c r="A23" s="4" t="inlineStr">
        <is>
          <t>Numbers</t>
        </is>
      </c>
      <c r="B23" s="4" t="inlineStr">
        <is>
          <t>Tabular figures so columns of dollars line up</t>
        </is>
      </c>
      <c r="C23" s="4" t="inlineStr"/>
      <c r="D23" s="4" t="inlineStr">
        <is>
          <t>Decided</t>
        </is>
      </c>
    </row>
    <row r="24">
      <c r="A24" s="5" t="inlineStr">
        <is>
          <t>SHAPE AND SPACE</t>
        </is>
      </c>
      <c r="B24" s="6" t="n"/>
      <c r="C24" s="6" t="n"/>
      <c r="D24" s="6" t="n"/>
    </row>
    <row r="25">
      <c r="A25" s="4" t="inlineStr">
        <is>
          <t>Corners</t>
        </is>
      </c>
      <c r="B25" s="4" t="inlineStr">
        <is>
          <t>8px on cards and inputs, 6px on buttons, full round on tags</t>
        </is>
      </c>
      <c r="C25" s="4" t="inlineStr"/>
      <c r="D25" s="4" t="inlineStr">
        <is>
          <t>Decided</t>
        </is>
      </c>
    </row>
    <row r="26">
      <c r="A26" s="4" t="inlineStr">
        <is>
          <t>Spacing</t>
        </is>
      </c>
      <c r="B26" s="4" t="inlineStr">
        <is>
          <t>4px grid: 4, 8, 12, 16, 24, 32</t>
        </is>
      </c>
      <c r="C26" s="4" t="inlineStr"/>
      <c r="D26" s="4" t="inlineStr">
        <is>
          <t>Decided</t>
        </is>
      </c>
    </row>
    <row r="27">
      <c r="A27" s="4" t="inlineStr">
        <is>
          <t>Row height</t>
        </is>
      </c>
      <c r="B27" s="4" t="inlineStr">
        <is>
          <t>Comfortable 44px (default) or Compact 36px; 34px inputs; every box in a row sits on the same center line</t>
        </is>
      </c>
      <c r="C27" s="4" t="inlineStr">
        <is>
          <t>Your 'fields level with one another'</t>
        </is>
      </c>
      <c r="D27" s="4" t="inlineStr">
        <is>
          <t>Decided (your feedback)</t>
        </is>
      </c>
    </row>
    <row r="28">
      <c r="A28" s="4" t="inlineStr">
        <is>
          <t>Chips next to inputs</t>
        </is>
      </c>
      <c r="B28" s="4" t="inlineStr">
        <is>
          <t>Sit beside the input on the same line, never above or below it</t>
        </is>
      </c>
      <c r="C28" s="4" t="inlineStr"/>
      <c r="D28" s="4" t="inlineStr">
        <is>
          <t>Decided (your feedback)</t>
        </is>
      </c>
    </row>
    <row r="29">
      <c r="A29" s="4" t="inlineStr">
        <is>
          <t>Inputs</t>
        </is>
      </c>
      <c r="B29" s="4" t="inlineStr">
        <is>
          <t>Filled: 1.5px #8FA2C6 border. Empty: 2px #4E6694 border with a hint like Add APR. Focused: 2px sapphire</t>
        </is>
      </c>
      <c r="C29" s="4" t="inlineStr">
        <is>
          <t>Visible borders rule; empty boxes stand out</t>
        </is>
      </c>
      <c r="D29" s="4" t="inlineStr">
        <is>
          <t>Decided (v4)</t>
        </is>
      </c>
    </row>
    <row r="30">
      <c r="A30" s="4" t="inlineStr">
        <is>
          <t>Buttons</t>
        </is>
      </c>
      <c r="B30" s="4" t="inlineStr">
        <is>
          <t>Main: filled sapphire, white text. Secondary: white with sapphire border. Icon: 28px square. Max one main button per area</t>
        </is>
      </c>
      <c r="C30" s="4" t="inlineStr"/>
      <c r="D30" s="4" t="inlineStr">
        <is>
          <t>Decided</t>
        </is>
      </c>
    </row>
    <row r="31">
      <c r="A31" s="4" t="inlineStr">
        <is>
          <t>Row actions</t>
        </is>
      </c>
      <c r="B31" s="4" t="inlineStr">
        <is>
          <t>Duplicate, reset, delete as 32px line icons with tooltips, then one 'More ▸' text button. No ⋯ menu</t>
        </is>
      </c>
      <c r="C31" s="4" t="inlineStr">
        <is>
          <t>Your 'three dots and caret' note</t>
        </is>
      </c>
      <c r="D31" s="4" t="inlineStr">
        <is>
          <t>Decided (your feedback)</t>
        </is>
      </c>
    </row>
    <row r="32">
      <c r="A32" s="4" t="inlineStr">
        <is>
          <t>Icons</t>
        </is>
      </c>
      <c r="B32" s="4" t="inlineStr">
        <is>
          <t>Line icons, 2.25 stroke, 18px, Lucide style (inline SVG or Lucide pinned from unpkg). Never emoji</t>
        </is>
      </c>
      <c r="C32" s="4" t="inlineStr"/>
      <c r="D32" s="4" t="inlineStr">
        <is>
          <t>Decided (v4)</t>
        </is>
      </c>
    </row>
    <row r="33">
      <c r="A33" s="4" t="inlineStr">
        <is>
          <t>Reference page</t>
        </is>
      </c>
      <c r="B33" s="4" t="inlineStr">
        <is>
          <t>spec/SLAM Look Preview.html (version 4) shows every value on this tab in use, light and dark</t>
        </is>
      </c>
      <c r="C33" s="4" t="inlineStr">
        <is>
          <t>Match it</t>
        </is>
      </c>
      <c r="D33" s="4" t="inlineStr">
        <is>
          <t>Decided (v4)</t>
        </is>
      </c>
    </row>
    <row r="34">
      <c r="A34" s="4" t="inlineStr">
        <is>
          <t>Current sub-tab</t>
        </is>
      </c>
      <c r="B34" s="4" t="inlineStr">
        <is>
          <t>Filled sapphire with white text</t>
        </is>
      </c>
      <c r="C34" s="4" t="inlineStr"/>
      <c r="D34" s="4" t="inlineStr">
        <is>
          <t>Decided</t>
        </is>
      </c>
    </row>
    <row r="35">
      <c r="A35" s="4" t="inlineStr">
        <is>
          <t>Hover</t>
        </is>
      </c>
      <c r="B35" s="4" t="inlineStr">
        <is>
          <t>Lift 1px with a soft shadow; pointer cursor on everything clickable, nothing else</t>
        </is>
      </c>
      <c r="C35" s="4" t="inlineStr"/>
      <c r="D35" s="4" t="inlineStr">
        <is>
          <t>Decided</t>
        </is>
      </c>
    </row>
    <row r="36">
      <c r="A36" s="4" t="inlineStr">
        <is>
          <t>Screen size</t>
        </is>
      </c>
      <c r="B36" s="4" t="inlineStr">
        <is>
          <t>Laptop first: designed at 1440px, must work down to 1280px. Phone layout is phase 6</t>
        </is>
      </c>
      <c r="C36" s="4" t="inlineStr"/>
      <c r="D36" s="4" t="inlineStr">
        <is>
          <t>Decided</t>
        </is>
      </c>
    </row>
    <row r="37">
      <c r="A37" s="4" t="inlineStr">
        <is>
          <t>Charts</t>
        </is>
      </c>
      <c r="B37" s="4" t="inlineStr">
        <is>
          <t>Apache ECharts from a CDN, using the area hues</t>
        </is>
      </c>
      <c r="C37" s="4" t="inlineStr">
        <is>
          <t>One chart library so every chart looks related</t>
        </is>
      </c>
      <c r="D37" s="4" t="inlineStr">
        <is>
          <t>Decided</t>
        </is>
      </c>
    </row>
    <row r="38">
      <c r="A38" s="5" t="inlineStr">
        <is>
          <t>FORMATS</t>
        </is>
      </c>
      <c r="B38" s="6" t="n"/>
      <c r="C38" s="6" t="n"/>
      <c r="D38" s="6" t="n"/>
    </row>
    <row r="39">
      <c r="A39" s="4" t="inlineStr">
        <is>
          <t>Money</t>
        </is>
      </c>
      <c r="B39" s="4" t="inlineStr">
        <is>
          <t>$1,240 in summaries (no cents); $15.99 in entry fields; negative as −$240, never red</t>
        </is>
      </c>
      <c r="C39" s="4" t="inlineStr"/>
      <c r="D39" s="4" t="inlineStr">
        <is>
          <t>Decided</t>
        </is>
      </c>
    </row>
    <row r="40">
      <c r="A40" s="4" t="inlineStr">
        <is>
          <t>Percent</t>
        </is>
      </c>
      <c r="B40" s="4" t="inlineStr">
        <is>
          <t>One decimal: 22.4%</t>
        </is>
      </c>
      <c r="C40" s="4" t="inlineStr"/>
      <c r="D40" s="4" t="inlineStr">
        <is>
          <t>Decided</t>
        </is>
      </c>
    </row>
    <row r="41">
      <c r="A41" s="4" t="inlineStr">
        <is>
          <t>Dates</t>
        </is>
      </c>
      <c r="B41" s="4" t="inlineStr">
        <is>
          <t>Nov 12, 2026; months as Nov 2026</t>
        </is>
      </c>
      <c r="C41" s="4" t="inlineStr"/>
      <c r="D41" s="4" t="inlineStr">
        <is>
          <t>Decided</t>
        </is>
      </c>
    </row>
    <row r="42">
      <c r="A42" s="4" t="inlineStr">
        <is>
          <t>Durations</t>
        </is>
      </c>
      <c r="B42" s="4" t="inlineStr">
        <is>
          <t>26 months (Jan 2029); never rounded to years</t>
        </is>
      </c>
      <c r="C42" s="4" t="inlineStr"/>
      <c r="D42" s="4" t="inlineStr">
        <is>
          <t>Decided</t>
        </is>
      </c>
    </row>
    <row r="43">
      <c r="A43" s="4" t="inlineStr">
        <is>
          <t>Time view</t>
        </is>
      </c>
      <c r="B43" s="4" t="inlineStr">
        <is>
          <t>14 hrs · 3 FI days</t>
        </is>
      </c>
      <c r="C43" s="4" t="inlineStr"/>
      <c r="D43" s="4" t="inlineStr">
        <is>
          <t>Decided</t>
        </is>
      </c>
    </row>
    <row r="44">
      <c r="A44" s="4" t="inlineStr">
        <is>
          <t>Empty</t>
        </is>
      </c>
      <c r="B44" s="4" t="inlineStr">
        <is>
          <t>A dash or 'Add …', never $0</t>
        </is>
      </c>
      <c r="C44" s="4" t="inlineStr"/>
      <c r="D44" s="4" t="inlineStr">
        <is>
          <t>Decided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9"/>
  <sheetViews>
    <sheetView workbookViewId="0">
      <pane ySplit="2" topLeftCell="A3" activePane="bottomLeft" state="frozen"/>
      <selection pane="bottomLeft" activeCell="A1" sqref="A1"/>
    </sheetView>
  </sheetViews>
  <sheetFormatPr baseColWidth="8" defaultRowHeight="15"/>
  <cols>
    <col width="32" customWidth="1" min="1" max="1"/>
    <col width="90" customWidth="1" min="2" max="2"/>
    <col width="20" customWidth="1" min="3" max="3"/>
    <col width="18" customWidth="1" min="4" max="4"/>
  </cols>
  <sheetData>
    <row r="1">
      <c r="A1" s="1" t="inlineStr">
        <is>
          <t>Words, empty states, errors</t>
        </is>
      </c>
      <c r="B1" s="2" t="n"/>
      <c r="C1" s="2" t="n"/>
      <c r="D1" s="2" t="n"/>
    </row>
    <row r="2">
      <c r="A2" s="3" t="inlineStr">
        <is>
          <t>Situation</t>
        </is>
      </c>
      <c r="B2" s="3" t="inlineStr">
        <is>
          <t>What it says</t>
        </is>
      </c>
      <c r="C2" s="3" t="inlineStr">
        <is>
          <t>Notes</t>
        </is>
      </c>
      <c r="D2" s="3" t="inlineStr">
        <is>
          <t>Status</t>
        </is>
      </c>
    </row>
    <row r="3">
      <c r="A3" s="5" t="inlineStr">
        <is>
          <t>THE ONE RULE</t>
        </is>
      </c>
      <c r="B3" s="6" t="n"/>
      <c r="C3" s="6" t="n"/>
      <c r="D3" s="6" t="n"/>
    </row>
    <row r="4">
      <c r="A4" s="4" t="inlineStr">
        <is>
          <t>Every word on screen</t>
        </is>
      </c>
      <c r="B4" s="4" t="inlineStr">
        <is>
          <t>Understood in one glance. Short, plain, obvious. If a label needs explaining, change the label</t>
        </is>
      </c>
      <c r="C4" s="4" t="inlineStr">
        <is>
          <t>Don't Make Me Think</t>
        </is>
      </c>
      <c r="D4" s="4" t="inlineStr">
        <is>
          <t>Decided (Oct 28)</t>
        </is>
      </c>
    </row>
    <row r="5">
      <c r="A5" s="5" t="inlineStr">
        <is>
          <t>EMPTY STATES (first time a screen is opened)</t>
        </is>
      </c>
      <c r="B5" s="6" t="n"/>
      <c r="C5" s="6" t="n"/>
      <c r="D5" s="6" t="n"/>
    </row>
    <row r="6">
      <c r="A6" s="4" t="inlineStr">
        <is>
          <t>Home (no client)</t>
        </is>
      </c>
      <c r="B6" s="4" t="inlineStr">
        <is>
          <t>'Start with a new client' + one main button</t>
        </is>
      </c>
      <c r="C6" s="4" t="inlineStr"/>
      <c r="D6" s="4" t="inlineStr">
        <is>
          <t>Proposed</t>
        </is>
      </c>
    </row>
    <row r="7">
      <c r="A7" s="4" t="inlineStr">
        <is>
          <t>My Money tab, nothing entered</t>
        </is>
      </c>
      <c r="B7" s="4" t="inlineStr">
        <is>
          <t>'Start Fast Track' as the one main button, with 'about 5 minutes' under it</t>
        </is>
      </c>
      <c r="C7" s="4" t="inlineStr"/>
      <c r="D7" s="4" t="inlineStr">
        <is>
          <t>Proposed</t>
        </is>
      </c>
    </row>
    <row r="8">
      <c r="A8" s="4" t="inlineStr">
        <is>
          <t>A list with no rows</t>
        </is>
      </c>
      <c r="B8" s="4" t="inlineStr">
        <is>
          <t>'No credit cards yet' + '+ Add credit card'</t>
        </is>
      </c>
      <c r="C8" s="4" t="inlineStr"/>
      <c r="D8" s="4" t="inlineStr">
        <is>
          <t>Proposed</t>
        </is>
      </c>
    </row>
    <row r="9">
      <c r="A9" s="4" t="inlineStr">
        <is>
          <t>A chart missing inputs</t>
        </is>
      </c>
      <c r="B9" s="4" t="inlineStr">
        <is>
          <t>Grey outline of the chart + 'Needs rent and take-home' with links to both</t>
        </is>
      </c>
      <c r="C9" s="4" t="inlineStr"/>
      <c r="D9" s="4" t="inlineStr">
        <is>
          <t>Proposed</t>
        </is>
      </c>
    </row>
    <row r="10">
      <c r="A10" s="4" t="inlineStr">
        <is>
          <t>A metric missing inputs</t>
        </is>
      </c>
      <c r="B10" s="4" t="inlineStr">
        <is>
          <t>'Locked: needs 2 numbers' with links</t>
        </is>
      </c>
      <c r="C10" s="4" t="inlineStr"/>
      <c r="D10" s="4" t="inlineStr">
        <is>
          <t>Decided</t>
        </is>
      </c>
    </row>
    <row r="11">
      <c r="A11" s="4" t="inlineStr">
        <is>
          <t>Calendar, nothing planned</t>
        </is>
      </c>
      <c r="B11" s="4" t="inlineStr">
        <is>
          <t>'Add your paychecks and bills to see your month'</t>
        </is>
      </c>
      <c r="C11" s="4" t="inlineStr"/>
      <c r="D11" s="4" t="inlineStr">
        <is>
          <t>Proposed</t>
        </is>
      </c>
    </row>
    <row r="12">
      <c r="A12" s="5" t="inlineStr">
        <is>
          <t>CONFIRMATIONS AND ERRORS</t>
        </is>
      </c>
      <c r="B12" s="6" t="n"/>
      <c r="C12" s="6" t="n"/>
      <c r="D12" s="6" t="n"/>
    </row>
    <row r="13">
      <c r="A13" s="4" t="inlineStr">
        <is>
          <t>After delete</t>
        </is>
      </c>
      <c r="B13" s="4" t="inlineStr">
        <is>
          <t>'Deleted. Undo' toast, 10 seconds</t>
        </is>
      </c>
      <c r="C13" s="4" t="inlineStr"/>
      <c r="D13" s="4" t="inlineStr">
        <is>
          <t>Decided</t>
        </is>
      </c>
    </row>
    <row r="14">
      <c r="A14" s="4" t="inlineStr">
        <is>
          <t>Before reset section</t>
        </is>
      </c>
      <c r="B14" s="4" t="inlineStr">
        <is>
          <t>'Clear all 6 debts? You can undo this.' Buttons: 'Clear debts' and 'Keep them'</t>
        </is>
      </c>
      <c r="C14" s="4" t="inlineStr"/>
      <c r="D14" s="4" t="inlineStr">
        <is>
          <t>Proposed</t>
        </is>
      </c>
    </row>
    <row r="15">
      <c r="A15" s="4" t="inlineStr">
        <is>
          <t>Save failed</t>
        </is>
      </c>
      <c r="B15" s="4" t="inlineStr">
        <is>
          <t>'Not saved yet. Your last change is safe in this tab; export now to be sure.' + Export button</t>
        </is>
      </c>
      <c r="C15" s="4" t="inlineStr"/>
      <c r="D15" s="4" t="inlineStr">
        <is>
          <t>Proposed</t>
        </is>
      </c>
    </row>
    <row r="16">
      <c r="A16" s="4" t="inlineStr">
        <is>
          <t>Payment too small</t>
        </is>
      </c>
      <c r="B16" s="4" t="inlineStr">
        <is>
          <t>'This payment never pays it off. It needs at least $417 a month.'</t>
        </is>
      </c>
      <c r="C16" s="4" t="inlineStr"/>
      <c r="D16" s="4" t="inlineStr">
        <is>
          <t>Proposed</t>
        </is>
      </c>
    </row>
    <row r="17">
      <c r="A17" s="4" t="inlineStr">
        <is>
          <t>Backup reminder</t>
        </is>
      </c>
      <c r="B17" s="4" t="inlineStr">
        <is>
          <t>'Last backup 9 days ago.' + 'Back up now'</t>
        </is>
      </c>
      <c r="C17" s="4" t="inlineStr"/>
      <c r="D17" s="4" t="inlineStr">
        <is>
          <t>Proposed</t>
        </is>
      </c>
    </row>
    <row r="18">
      <c r="A18" s="5" t="inlineStr">
        <is>
          <t>SAMPLE TEXT IN THE MOCKUP</t>
        </is>
      </c>
      <c r="B18" s="6" t="n"/>
      <c r="C18" s="6" t="n"/>
      <c r="D18" s="6" t="n"/>
    </row>
    <row r="19">
      <c r="A19" s="4" t="inlineStr">
        <is>
          <t>Names and amounts in the Mockup tab</t>
        </is>
      </c>
      <c r="B19" s="4" t="inlineStr">
        <is>
          <t>Examples only (Maya R., $1,240, Nov 12). Never hard-code them; real values come from the client's records</t>
        </is>
      </c>
      <c r="C19" s="4" t="inlineStr"/>
      <c r="D19" s="4" t="inlineStr">
        <is>
          <t>Decided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43"/>
  <sheetViews>
    <sheetView workbookViewId="0">
      <pane ySplit="2" topLeftCell="A3" activePane="bottomLeft" state="frozen"/>
      <selection pane="bottomLeft" activeCell="A1" sqref="A1"/>
    </sheetView>
  </sheetViews>
  <sheetFormatPr baseColWidth="8" defaultRowHeight="15"/>
  <cols>
    <col width="26" customWidth="1" min="1" max="1"/>
    <col width="44" customWidth="1" min="2" max="2"/>
    <col width="60" customWidth="1" min="3" max="3"/>
    <col width="50" customWidth="1" min="4" max="4"/>
  </cols>
  <sheetData>
    <row r="1">
      <c r="A1" s="1" t="inlineStr">
        <is>
          <t>Navigation: where everything lives</t>
        </is>
      </c>
      <c r="B1" s="2" t="n"/>
      <c r="C1" s="2" t="n"/>
      <c r="D1" s="2" t="n"/>
    </row>
    <row r="2">
      <c r="A2" s="3" t="inlineStr">
        <is>
          <t>Tab or task</t>
        </is>
      </c>
      <c r="B2" s="3" t="inlineStr">
        <is>
          <t>Sub-tab or path</t>
        </is>
      </c>
      <c r="C2" s="3" t="inlineStr">
        <is>
          <t>What lives here / clicks</t>
        </is>
      </c>
      <c r="D2" s="3" t="inlineStr">
        <is>
          <t>Links and notes</t>
        </is>
      </c>
    </row>
    <row r="3">
      <c r="A3" s="5" t="inlineStr">
        <is>
          <t>THE IDEA</t>
        </is>
      </c>
      <c r="B3" s="6" t="n"/>
      <c r="C3" s="6" t="n"/>
      <c r="D3" s="6" t="n"/>
    </row>
    <row r="4">
      <c r="A4" s="4" t="inlineStr">
        <is>
          <t>Five tabs, five jobs</t>
        </is>
      </c>
      <c r="B4" s="4" t="inlineStr">
        <is>
          <t>Home = this session. My Money = facts about today. Spending = this month. Plan = the future. Report = the report (read only)</t>
        </is>
      </c>
      <c r="C4" s="4" t="inlineStr"/>
      <c r="D4" s="4" t="inlineStr">
        <is>
          <t>If you can't tell which tab something belongs in, ask: is it about now, this month, the future, or a summary?</t>
        </is>
      </c>
    </row>
    <row r="5">
      <c r="A5" s="4" t="inlineStr">
        <is>
          <t>One home per thing</t>
        </is>
      </c>
      <c r="B5" s="4" t="inlineStr">
        <is>
          <t>Every field is entered in exactly one place. Other screens show it as a link back to its home</t>
        </is>
      </c>
      <c r="C5" s="4" t="inlineStr"/>
      <c r="D5" s="4" t="inlineStr">
        <is>
          <t>No more 'Needs in My Money and Spending'</t>
        </is>
      </c>
    </row>
    <row r="6">
      <c r="A6" s="4" t="inlineStr">
        <is>
          <t>Tabs are places, buttons are actions</t>
        </is>
      </c>
      <c r="B6" s="4" t="inlineStr">
        <is>
          <t>Start Fast Track, Start session and One page are modes, so they're buttons or toggles, not tabs</t>
        </is>
      </c>
      <c r="C6" s="4" t="inlineStr"/>
      <c r="D6" s="4" t="inlineStr"/>
    </row>
    <row r="7">
      <c r="A7" s="4" t="inlineStr">
        <is>
          <t>Same spot, every screen</t>
        </is>
      </c>
      <c r="B7" s="4" t="inlineStr">
        <is>
          <t>Top bar: left = where am I, middle = 5 tabs, right = 8 tools. Sub-tabs always directly under the main tabs</t>
        </is>
      </c>
      <c r="C7" s="4" t="inlineStr"/>
      <c r="D7" s="4" t="inlineStr"/>
    </row>
    <row r="8">
      <c r="A8" s="5" t="inlineStr">
        <is>
          <t>SITE MAP</t>
        </is>
      </c>
      <c r="B8" s="6" t="n"/>
      <c r="C8" s="6" t="n"/>
      <c r="D8" s="6" t="n"/>
    </row>
    <row r="9">
      <c r="A9" s="4" t="inlineStr">
        <is>
          <t>Home</t>
        </is>
      </c>
      <c r="B9" s="4" t="inlineStr">
        <is>
          <t>Prep | Live | Wrap-up</t>
        </is>
      </c>
      <c r="C9" s="4" t="inlineStr">
        <is>
          <t>Session notes, agenda, homework status</t>
        </is>
      </c>
      <c r="D9" s="4" t="inlineStr">
        <is>
          <t>Money in one line links to Report, Spending and Plan</t>
        </is>
      </c>
    </row>
    <row r="10">
      <c r="A10" s="4" t="inlineStr">
        <is>
          <t>My Money</t>
        </is>
      </c>
      <c r="B10" s="4" t="inlineStr">
        <is>
          <t>Profile</t>
        </is>
      </c>
      <c r="C10" s="4" t="inlineStr">
        <is>
          <t>Why now, gates hub (what applies to me), about you, work and home, accounts, couples split</t>
        </is>
      </c>
      <c r="D10" s="4" t="inlineStr">
        <is>
          <t>Gates hub links to every gated section</t>
        </is>
      </c>
    </row>
    <row r="11">
      <c r="A11" s="4" t="inlineStr">
        <is>
          <t>My Money</t>
        </is>
      </c>
      <c r="B11" s="4" t="inlineStr">
        <is>
          <t>Income</t>
        </is>
      </c>
      <c r="C11" s="4" t="inlineStr">
        <is>
          <t>Paychecks, benefits, variable income, equity pay</t>
        </is>
      </c>
      <c r="D11" s="4" t="inlineStr">
        <is>
          <t>Take-home total feeds Spending and Report</t>
        </is>
      </c>
    </row>
    <row r="12">
      <c r="A12" s="4" t="inlineStr">
        <is>
          <t>My Money</t>
        </is>
      </c>
      <c r="B12" s="4" t="inlineStr">
        <is>
          <t>Debt</t>
        </is>
      </c>
      <c r="C12" s="4" t="inlineStr">
        <is>
          <t>Every debt row, credit score, payoff order</t>
        </is>
      </c>
      <c r="D12" s="4" t="inlineStr">
        <is>
          <t>Car loan and mortgage also show on Assets (same record)</t>
        </is>
      </c>
    </row>
    <row r="13">
      <c r="A13" s="4" t="inlineStr">
        <is>
          <t>My Money</t>
        </is>
      </c>
      <c r="B13" s="4" t="inlineStr">
        <is>
          <t>Assets</t>
        </is>
      </c>
      <c r="C13" s="4" t="inlineStr">
        <is>
          <t>Cash, investments, car, home, other</t>
        </is>
      </c>
      <c r="D13" s="4" t="inlineStr">
        <is>
          <t>Net worths show on Report</t>
        </is>
      </c>
    </row>
    <row r="14">
      <c r="A14" s="4" t="inlineStr">
        <is>
          <t>My Money</t>
        </is>
      </c>
      <c r="B14" s="4" t="inlineStr">
        <is>
          <t>Protection</t>
        </is>
      </c>
      <c r="C14" s="4" t="inlineStr">
        <is>
          <t>Insurance coverage and gaps</t>
        </is>
      </c>
      <c r="D14" s="4" t="inlineStr">
        <is>
          <t>Gaps become to-dos</t>
        </is>
      </c>
    </row>
    <row r="15">
      <c r="A15" s="4" t="inlineStr">
        <is>
          <t>My Money</t>
        </is>
      </c>
      <c r="B15" s="4" t="inlineStr">
        <is>
          <t>Taxes</t>
        </is>
      </c>
      <c r="C15" s="4" t="inlineStr">
        <is>
          <t>Filing status, last year, estimates</t>
        </is>
      </c>
      <c r="D15" s="4" t="inlineStr">
        <is>
          <t>Rates show on Report</t>
        </is>
      </c>
    </row>
    <row r="16">
      <c r="A16" s="4" t="inlineStr">
        <is>
          <t>Spending</t>
        </is>
      </c>
      <c r="B16" s="4" t="inlineStr">
        <is>
          <t>Budget</t>
        </is>
      </c>
      <c r="C16" s="4" t="inlineStr">
        <is>
          <t>Every spending line, the five passes, fixed/variable, who pays, irregular costs</t>
        </is>
      </c>
      <c r="D16" s="4" t="inlineStr">
        <is>
          <t>Lines appear on the calendar</t>
        </is>
      </c>
    </row>
    <row r="17">
      <c r="A17" s="4" t="inlineStr">
        <is>
          <t>Spending</t>
        </is>
      </c>
      <c r="B17" s="4" t="inlineStr">
        <is>
          <t>Cash flow calendar</t>
        </is>
      </c>
      <c r="C17" s="4" t="inlineStr">
        <is>
          <t>Calendar entries, maybe money, wins, low balance line</t>
        </is>
      </c>
      <c r="D17" s="4" t="inlineStr">
        <is>
          <t>Card due dates come from Debt</t>
        </is>
      </c>
    </row>
    <row r="18">
      <c r="A18" s="4" t="inlineStr">
        <is>
          <t>Spending</t>
        </is>
      </c>
      <c r="B18" s="4" t="inlineStr">
        <is>
          <t>Month-end close</t>
        </is>
      </c>
      <c r="C18" s="4" t="inlineStr">
        <is>
          <t>Close, misses, carry adjustments</t>
        </is>
      </c>
      <c r="D18" s="4" t="inlineStr">
        <is>
          <t>Actuals feed Report &gt; History</t>
        </is>
      </c>
    </row>
    <row r="19">
      <c r="A19" s="4" t="inlineStr">
        <is>
          <t>Plan</t>
        </is>
      </c>
      <c r="B19" s="4" t="inlineStr">
        <is>
          <t>Goals</t>
        </is>
      </c>
      <c r="C19" s="4" t="inlineStr">
        <is>
          <t>FI target, assumptions, milestones</t>
        </is>
      </c>
      <c r="D19" s="4" t="inlineStr">
        <is>
          <t>FI date shows on Home</t>
        </is>
      </c>
    </row>
    <row r="20">
      <c r="A20" s="4" t="inlineStr">
        <is>
          <t>Plan</t>
        </is>
      </c>
      <c r="B20" s="4" t="inlineStr">
        <is>
          <t>Timeline</t>
        </is>
      </c>
      <c r="C20" s="4" t="inlineStr">
        <is>
          <t>FI timeline with sliders and pace bands</t>
        </is>
      </c>
      <c r="D20" s="4" t="inlineStr"/>
    </row>
    <row r="21">
      <c r="A21" s="4" t="inlineStr">
        <is>
          <t>Plan</t>
        </is>
      </c>
      <c r="B21" s="4" t="inlineStr">
        <is>
          <t>Debt payoff</t>
        </is>
      </c>
      <c r="C21" s="4" t="inlineStr">
        <is>
          <t>Payoff chart and extra payment slider</t>
        </is>
      </c>
      <c r="D21" s="4" t="inlineStr">
        <is>
          <t>Reads Debt</t>
        </is>
      </c>
    </row>
    <row r="22">
      <c r="A22" s="4" t="inlineStr">
        <is>
          <t>Plan</t>
        </is>
      </c>
      <c r="B22" s="4" t="inlineStr">
        <is>
          <t>Next 12 months</t>
        </is>
      </c>
      <c r="C22" s="4" t="inlineStr">
        <is>
          <t>Upcoming events</t>
        </is>
      </c>
      <c r="D22" s="4" t="inlineStr">
        <is>
          <t>Each lands on the calendar</t>
        </is>
      </c>
    </row>
    <row r="23">
      <c r="A23" s="4" t="inlineStr">
        <is>
          <t>Plan</t>
        </is>
      </c>
      <c r="B23" s="4" t="inlineStr">
        <is>
          <t>Scenarios</t>
        </is>
      </c>
      <c r="C23" s="4" t="inlineStr">
        <is>
          <t>Life event blocks (later)</t>
        </is>
      </c>
      <c r="D23" s="4" t="inlineStr"/>
    </row>
    <row r="24">
      <c r="A24" s="4" t="inlineStr">
        <is>
          <t>Report</t>
        </is>
      </c>
      <c r="B24" s="4" t="inlineStr">
        <is>
          <t>Overview</t>
        </is>
      </c>
      <c r="C24" s="4" t="inlineStr">
        <is>
          <t>Net worth donuts, metrics unlocked, Sankey</t>
        </is>
      </c>
      <c r="D24" s="4" t="inlineStr">
        <is>
          <t>Read only; every number links to its home</t>
        </is>
      </c>
    </row>
    <row r="25">
      <c r="A25" s="4" t="inlineStr">
        <is>
          <t>Report</t>
        </is>
      </c>
      <c r="B25" s="4" t="inlineStr">
        <is>
          <t>One-pager</t>
        </is>
      </c>
      <c r="C25" s="4" t="inlineStr">
        <is>
          <t>Session summary, send summary</t>
        </is>
      </c>
      <c r="D25" s="4" t="inlineStr"/>
    </row>
    <row r="26">
      <c r="A26" s="4" t="inlineStr">
        <is>
          <t>Report</t>
        </is>
      </c>
      <c r="B26" s="4" t="inlineStr">
        <is>
          <t>History</t>
        </is>
      </c>
      <c r="C26" s="4" t="inlineStr">
        <is>
          <t>Snapshots over time, Wrapped later</t>
        </is>
      </c>
      <c r="D26" s="4" t="inlineStr"/>
    </row>
    <row r="27">
      <c r="A27" s="4" t="inlineStr">
        <is>
          <t>⚙ Coach tools</t>
        </is>
      </c>
      <c r="B27" s="4" t="inlineStr">
        <is>
          <t>Lists, Data, Session</t>
        </is>
      </c>
      <c r="C27" s="4" t="inlineStr">
        <is>
          <t>Revisit list, homework, snapshots, export/import, reset, private and shared notes, settings, pre-call link</t>
        </is>
      </c>
      <c r="D27" s="4" t="inlineStr">
        <is>
          <t>Never shown in client view</t>
        </is>
      </c>
    </row>
    <row r="28">
      <c r="A28" s="4" t="inlineStr">
        <is>
          <t>+ New client</t>
        </is>
      </c>
      <c r="B28" s="4" t="inlineStr">
        <is>
          <t>Discovery table</t>
        </is>
      </c>
      <c r="C28" s="4" t="inlineStr">
        <is>
          <t>Creates the client from the sales call</t>
        </is>
      </c>
      <c r="D28" s="4" t="inlineStr">
        <is>
          <t>Then opens Home in Prep</t>
        </is>
      </c>
    </row>
    <row r="29">
      <c r="A29" s="5" t="inlineStr">
        <is>
          <t>HOW DO I...? (clicks from anywhere)</t>
        </is>
      </c>
      <c r="B29" s="6" t="n"/>
      <c r="C29" s="6" t="n"/>
      <c r="D29" s="6" t="n"/>
    </row>
    <row r="30">
      <c r="A30" s="4" t="inlineStr">
        <is>
          <t>Add a credit card</t>
        </is>
      </c>
      <c r="B30" s="4" t="inlineStr">
        <is>
          <t>My Money › Debt › + Add debt › Credit card</t>
        </is>
      </c>
      <c r="C30" s="4" t="inlineStr">
        <is>
          <t>3 clicks, or 1 with + Add anything</t>
        </is>
      </c>
      <c r="D30" s="4" t="inlineStr"/>
    </row>
    <row r="31">
      <c r="A31" s="4" t="inlineStr">
        <is>
          <t>Say the client got a car</t>
        </is>
      </c>
      <c r="B31" s="4" t="inlineStr">
        <is>
          <t>My Money › Profile › gates hub › Car ✓</t>
        </is>
      </c>
      <c r="C31" s="4" t="inlineStr">
        <is>
          <t>3 clicks; jumps to the new car rows</t>
        </is>
      </c>
      <c r="D31" s="4" t="inlineStr"/>
    </row>
    <row r="32">
      <c r="A32" s="4" t="inlineStr">
        <is>
          <t>Log a paycheck that arrived</t>
        </is>
      </c>
      <c r="B32" s="4" t="inlineStr">
        <is>
          <t>Spending › Cash flow calendar › chip › Got it</t>
        </is>
      </c>
      <c r="C32" s="4" t="inlineStr">
        <is>
          <t>3 clicks</t>
        </is>
      </c>
      <c r="D32" s="4" t="inlineStr"/>
    </row>
    <row r="33">
      <c r="A33" s="4" t="inlineStr">
        <is>
          <t>Mark a bill as partly paid</t>
        </is>
      </c>
      <c r="B33" s="4" t="inlineStr">
        <is>
          <t>Spending › Cash flow calendar › chip › Partial</t>
        </is>
      </c>
      <c r="C33" s="4" t="inlineStr">
        <is>
          <t>3 clicks</t>
        </is>
      </c>
      <c r="D33" s="4" t="inlineStr"/>
    </row>
    <row r="34">
      <c r="A34" s="4" t="inlineStr">
        <is>
          <t>Link a bill to a card</t>
        </is>
      </c>
      <c r="B34" s="4" t="inlineStr">
        <is>
          <t>More ▸ › Paid with › card name</t>
        </is>
      </c>
      <c r="C34" s="4" t="inlineStr">
        <is>
          <t>3 clicks from the bill</t>
        </is>
      </c>
      <c r="D34" s="4" t="inlineStr">
        <is>
          <t>Or check several bills and use Link to card in the bulk bar</t>
        </is>
      </c>
    </row>
    <row r="35">
      <c r="A35" s="4" t="inlineStr">
        <is>
          <t>Close the month</t>
        </is>
      </c>
      <c r="B35" s="4" t="inlineStr">
        <is>
          <t>Spending › Month-end close › Review › Close month</t>
        </is>
      </c>
      <c r="C35" s="4" t="inlineStr">
        <is>
          <t>3 clicks</t>
        </is>
      </c>
      <c r="D35" s="4" t="inlineStr"/>
    </row>
    <row r="36">
      <c r="A36" s="4" t="inlineStr">
        <is>
          <t>See the FI date</t>
        </is>
      </c>
      <c r="B36" s="4" t="inlineStr">
        <is>
          <t>Home (it's on Money in one line)</t>
        </is>
      </c>
      <c r="C36" s="4" t="inlineStr">
        <is>
          <t>0-1 clicks</t>
        </is>
      </c>
      <c r="D36" s="4" t="inlineStr"/>
    </row>
    <row r="37">
      <c r="A37" s="4" t="inlineStr">
        <is>
          <t>Find the HSA</t>
        </is>
      </c>
      <c r="B37" s="4" t="inlineStr">
        <is>
          <t>🔍 Find › type 'HSA'</t>
        </is>
      </c>
      <c r="C37" s="4" t="inlineStr">
        <is>
          <t>1 click</t>
        </is>
      </c>
      <c r="D37" s="4" t="inlineStr"/>
    </row>
    <row r="38">
      <c r="A38" s="4" t="inlineStr">
        <is>
          <t>Jot something the client said</t>
        </is>
      </c>
      <c r="B38" s="4" t="inlineStr">
        <is>
          <t>📝</t>
        </is>
      </c>
      <c r="C38" s="4" t="inlineStr">
        <is>
          <t>1 click</t>
        </is>
      </c>
      <c r="D38" s="4" t="inlineStr"/>
    </row>
    <row r="39">
      <c r="A39" s="4" t="inlineStr">
        <is>
          <t>Run Fast Track</t>
        </is>
      </c>
      <c r="B39" s="4" t="inlineStr">
        <is>
          <t>My Money › Start Fast Track</t>
        </is>
      </c>
      <c r="C39" s="4" t="inlineStr">
        <is>
          <t>2 clicks</t>
        </is>
      </c>
      <c r="D39" s="4" t="inlineStr"/>
    </row>
    <row r="40">
      <c r="A40" s="4" t="inlineStr">
        <is>
          <t>Share my screen safely</t>
        </is>
      </c>
      <c r="B40" s="4" t="inlineStr">
        <is>
          <t>Client view toggle</t>
        </is>
      </c>
      <c r="C40" s="4" t="inlineStr">
        <is>
          <t>1 click</t>
        </is>
      </c>
      <c r="D40" s="4" t="inlineStr"/>
    </row>
    <row r="41">
      <c r="A41" s="4" t="inlineStr">
        <is>
          <t>Undo a delete</t>
        </is>
      </c>
      <c r="B41" s="4" t="inlineStr">
        <is>
          <t>Undo toast, or ↶</t>
        </is>
      </c>
      <c r="C41" s="4" t="inlineStr">
        <is>
          <t>1 click</t>
        </is>
      </c>
      <c r="D41" s="4" t="inlineStr"/>
    </row>
    <row r="42">
      <c r="A42" s="4" t="inlineStr">
        <is>
          <t>Send the summary</t>
        </is>
      </c>
      <c r="B42" s="4" t="inlineStr">
        <is>
          <t>Home (Wrap-up) › End session › Send summary</t>
        </is>
      </c>
      <c r="C42" s="4" t="inlineStr">
        <is>
          <t>2-3 clicks</t>
        </is>
      </c>
      <c r="D42" s="4" t="inlineStr"/>
    </row>
    <row r="43">
      <c r="A43" s="4" t="inlineStr">
        <is>
          <t>Switch client</t>
        </is>
      </c>
      <c r="B43" s="4" t="inlineStr">
        <is>
          <t>Client name in the top bar</t>
        </is>
      </c>
      <c r="C43" s="4" t="inlineStr">
        <is>
          <t>2 clicks</t>
        </is>
      </c>
      <c r="D43" s="4"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32"/>
  <sheetViews>
    <sheetView workbookViewId="0">
      <pane ySplit="2" topLeftCell="A3" activePane="bottomLeft" state="frozen"/>
      <selection pane="bottomLeft" activeCell="A1" sqref="A1"/>
    </sheetView>
  </sheetViews>
  <sheetFormatPr baseColWidth="8" defaultRowHeight="15"/>
  <cols>
    <col width="34" customWidth="1" min="1" max="1"/>
    <col width="80" customWidth="1" min="2" max="2"/>
    <col width="20" customWidth="1" min="3" max="3"/>
    <col width="12" customWidth="1" min="4" max="4"/>
    <col width="36" customWidth="1" min="5" max="5"/>
  </cols>
  <sheetData>
    <row r="1">
      <c r="A1" s="1" t="inlineStr">
        <is>
          <t>Don't Make Me Think check</t>
        </is>
      </c>
      <c r="B1" s="2" t="n"/>
      <c r="C1" s="2" t="n"/>
      <c r="D1" s="2" t="n"/>
      <c r="E1" s="2" t="n"/>
    </row>
    <row r="2">
      <c r="A2" s="3" t="inlineStr">
        <is>
          <t>Principle or check</t>
        </is>
      </c>
      <c r="B2" s="3" t="inlineStr">
        <is>
          <t>How it's applied</t>
        </is>
      </c>
      <c r="C2" s="3" t="inlineStr">
        <is>
          <t>Where</t>
        </is>
      </c>
      <c r="D2" s="3" t="inlineStr">
        <is>
          <t>Status</t>
        </is>
      </c>
      <c r="E2" s="3" t="inlineStr">
        <is>
          <t>Your comments</t>
        </is>
      </c>
    </row>
    <row r="3">
      <c r="A3" s="5" t="inlineStr">
        <is>
          <t>TRUNK TEST (Krug: drop someone on any screen; can they answer these?)</t>
        </is>
      </c>
      <c r="B3" s="6" t="n"/>
      <c r="C3" s="6" t="n"/>
      <c r="D3" s="6" t="n"/>
      <c r="E3" s="6" t="n"/>
    </row>
    <row r="4">
      <c r="A4" s="4" t="inlineStr">
        <is>
          <t>What site is this?</t>
        </is>
      </c>
      <c r="B4" s="4" t="inlineStr">
        <is>
          <t>'SLAM' site ID top left on every screen</t>
        </is>
      </c>
      <c r="C4" s="4" t="inlineStr">
        <is>
          <t>All screens</t>
        </is>
      </c>
      <c r="D4" s="4" t="inlineStr">
        <is>
          <t>Applied</t>
        </is>
      </c>
      <c r="E4" s="4" t="inlineStr"/>
    </row>
    <row r="5">
      <c r="A5" s="4" t="inlineStr">
        <is>
          <t>Whose file is this?</t>
        </is>
      </c>
      <c r="B5" s="4" t="inlineStr">
        <is>
          <t>Client name next to the site ID</t>
        </is>
      </c>
      <c r="C5" s="4" t="inlineStr">
        <is>
          <t>All screens</t>
        </is>
      </c>
      <c r="D5" s="4" t="inlineStr">
        <is>
          <t>Applied</t>
        </is>
      </c>
      <c r="E5" s="4" t="inlineStr"/>
    </row>
    <row r="6">
      <c r="A6" s="4" t="inlineStr">
        <is>
          <t>What page am I on?</t>
        </is>
      </c>
      <c r="B6" s="4" t="inlineStr">
        <is>
          <t>Breadcrumb after the client name, current tab underlined, current sub-tab filled</t>
        </is>
      </c>
      <c r="C6" s="4" t="inlineStr">
        <is>
          <t>All screens</t>
        </is>
      </c>
      <c r="D6" s="4" t="inlineStr">
        <is>
          <t>Applied</t>
        </is>
      </c>
      <c r="E6" s="4" t="inlineStr"/>
    </row>
    <row r="7">
      <c r="A7" s="4" t="inlineStr">
        <is>
          <t>What are the major sections?</t>
        </is>
      </c>
      <c r="B7" s="4" t="inlineStr">
        <is>
          <t>Five main tabs, same order everywhere</t>
        </is>
      </c>
      <c r="C7" s="4" t="inlineStr">
        <is>
          <t>All screens</t>
        </is>
      </c>
      <c r="D7" s="4" t="inlineStr">
        <is>
          <t>Applied</t>
        </is>
      </c>
      <c r="E7" s="4" t="inlineStr"/>
    </row>
    <row r="8">
      <c r="A8" s="4" t="inlineStr">
        <is>
          <t>What are my options here?</t>
        </is>
      </c>
      <c r="B8" s="4" t="inlineStr">
        <is>
          <t>Sub-tabs right under the tabs; one main (filled blue) button per area</t>
        </is>
      </c>
      <c r="C8" s="4" t="inlineStr">
        <is>
          <t>All screens</t>
        </is>
      </c>
      <c r="D8" s="4" t="inlineStr">
        <is>
          <t>Applied</t>
        </is>
      </c>
      <c r="E8" s="4" t="inlineStr"/>
    </row>
    <row r="9">
      <c r="A9" s="4" t="inlineStr">
        <is>
          <t>How do I search?</t>
        </is>
      </c>
      <c r="B9" s="4" t="inlineStr">
        <is>
          <t>🔍 Find in the same spot on every screen</t>
        </is>
      </c>
      <c r="C9" s="4" t="inlineStr">
        <is>
          <t>All screens</t>
        </is>
      </c>
      <c r="D9" s="4" t="inlineStr">
        <is>
          <t>Applied</t>
        </is>
      </c>
      <c r="E9" s="4" t="inlineStr"/>
    </row>
    <row r="10">
      <c r="A10" s="5" t="inlineStr">
        <is>
          <t>KRUG PRINCIPLES</t>
        </is>
      </c>
      <c r="B10" s="6" t="n"/>
      <c r="C10" s="6" t="n"/>
      <c r="D10" s="6" t="n"/>
      <c r="E10" s="6" t="n"/>
    </row>
    <row r="11">
      <c r="A11" s="4" t="inlineStr">
        <is>
          <t>Obvious what's clickable</t>
        </is>
      </c>
      <c r="B11" s="4" t="inlineStr">
        <is>
          <t>Buttons look like buttons, fields have borders, tabs are filled, computed numbers are grey and can't be typed in</t>
        </is>
      </c>
      <c r="C11" s="4" t="inlineStr">
        <is>
          <t>Staples</t>
        </is>
      </c>
      <c r="D11" s="4" t="inlineStr">
        <is>
          <t>Applied</t>
        </is>
      </c>
      <c r="E11" s="4" t="inlineStr"/>
    </row>
    <row r="12">
      <c r="A12" s="7" t="inlineStr">
        <is>
          <t>One main action per area</t>
        </is>
      </c>
      <c r="B12" s="7" t="inlineStr">
        <is>
          <t>Each area gets at most one filled blue button (Start session, Next step, End session, + Add). Everything else is outlined or an icon</t>
        </is>
      </c>
      <c r="C12" s="7" t="inlineStr">
        <is>
          <t>Home, every section</t>
        </is>
      </c>
      <c r="D12" s="7" t="inlineStr">
        <is>
          <t>Fixed today</t>
        </is>
      </c>
      <c r="E12" s="7" t="inlineStr"/>
    </row>
    <row r="13">
      <c r="A13" s="7" t="inlineStr">
        <is>
          <t>Don't make them hunt</t>
        </is>
      </c>
      <c r="B13" s="7" t="inlineStr">
        <is>
          <t>One home per thing; Find and quick add reach any field in 1 click</t>
        </is>
      </c>
      <c r="C13" s="7" t="inlineStr">
        <is>
          <t>Navigation</t>
        </is>
      </c>
      <c r="D13" s="7" t="inlineStr">
        <is>
          <t>Fixed today</t>
        </is>
      </c>
      <c r="E13" s="7" t="inlineStr"/>
    </row>
    <row r="14">
      <c r="A14" s="4" t="inlineStr">
        <is>
          <t>Omit needless words</t>
        </is>
      </c>
      <c r="B14" s="4" t="inlineStr">
        <is>
          <t>Labels are 1-3 words; explanations go in tooltips; copy from the user's side</t>
        </is>
      </c>
      <c r="C14" s="4" t="inlineStr">
        <is>
          <t>All copy</t>
        </is>
      </c>
      <c r="D14" s="4" t="inlineStr">
        <is>
          <t>Applied</t>
        </is>
      </c>
      <c r="E14" s="4" t="inlineStr"/>
    </row>
    <row r="15">
      <c r="A15" s="7" t="inlineStr">
        <is>
          <t>Reduce noise</t>
        </is>
      </c>
      <c r="B15" s="7" t="inlineStr">
        <is>
          <t>Status tags only show when a number isn't 'Know it'. Secondary and Tertiary collapsed. Completion is one slim bar on Home</t>
        </is>
      </c>
      <c r="C15" s="7" t="inlineStr">
        <is>
          <t>All rows, Home</t>
        </is>
      </c>
      <c r="D15" s="7" t="inlineStr">
        <is>
          <t>Fixed today</t>
        </is>
      </c>
      <c r="E15" s="7" t="inlineStr"/>
    </row>
    <row r="16">
      <c r="A16" s="4" t="inlineStr">
        <is>
          <t>Conventions over cleverness</t>
        </is>
      </c>
      <c r="B16" s="4" t="inlineStr">
        <is>
          <t>Standard patterns: tabs, breadcrumb, undo toast, trash can, caret</t>
        </is>
      </c>
      <c r="C16" s="4" t="inlineStr">
        <is>
          <t>Staples</t>
        </is>
      </c>
      <c r="D16" s="4" t="inlineStr">
        <is>
          <t>Applied</t>
        </is>
      </c>
      <c r="E16" s="4" t="inlineStr"/>
    </row>
    <row r="17">
      <c r="A17" s="4" t="inlineStr">
        <is>
          <t>Mindless choices</t>
        </is>
      </c>
      <c r="B17" s="4" t="inlineStr">
        <is>
          <t>Top 4 then Other; defaults filled; 'not sure' fills a guess instead of blocking</t>
        </is>
      </c>
      <c r="C17" s="4" t="inlineStr">
        <is>
          <t>Pickers, defaults</t>
        </is>
      </c>
      <c r="D17" s="4" t="inlineStr">
        <is>
          <t>Applied</t>
        </is>
      </c>
      <c r="E17" s="4" t="inlineStr"/>
    </row>
    <row r="18">
      <c r="A18" s="7" t="inlineStr">
        <is>
          <t>Visual hierarchy</t>
        </is>
      </c>
      <c r="B18" s="7" t="inlineStr">
        <is>
          <t>Bigger = more important: #1 next number is a big card, #2 and #3 small. Money in one line has exactly 4 numbers</t>
        </is>
      </c>
      <c r="C18" s="7" t="inlineStr">
        <is>
          <t>Home</t>
        </is>
      </c>
      <c r="D18" s="7" t="inlineStr">
        <is>
          <t>Fixed today</t>
        </is>
      </c>
      <c r="E18" s="7" t="inlineStr"/>
    </row>
    <row r="19">
      <c r="A19" s="5" t="inlineStr">
        <is>
          <t>WHAT WAS FIXED TODAY</t>
        </is>
      </c>
      <c r="B19" s="6" t="n"/>
      <c r="C19" s="6" t="n"/>
      <c r="D19" s="6" t="n"/>
      <c r="E19" s="6" t="n"/>
    </row>
    <row r="20">
      <c r="A20" s="7" t="inlineStr">
        <is>
          <t>Needs lived in two places</t>
        </is>
      </c>
      <c r="B20" s="7" t="inlineStr">
        <is>
          <t>My Money had a Needs tab that linked to Spending. Removed; Spending &gt; Budget is Needs' one home</t>
        </is>
      </c>
      <c r="C20" s="7" t="inlineStr">
        <is>
          <t>My Money, Spending</t>
        </is>
      </c>
      <c r="D20" s="7" t="inlineStr">
        <is>
          <t>Fixed today</t>
        </is>
      </c>
      <c r="E20" s="7" t="inlineStr"/>
    </row>
    <row r="21">
      <c r="A21" s="7" t="inlineStr">
        <is>
          <t>Goals lived in two places</t>
        </is>
      </c>
      <c r="B21" s="7" t="inlineStr">
        <is>
          <t>Goals were a My Money tab and also on Plan. Moved to Plan &gt; Goals; My Money is only facts about today</t>
        </is>
      </c>
      <c r="C21" s="7" t="inlineStr">
        <is>
          <t>My Money, Plan</t>
        </is>
      </c>
      <c r="D21" s="7" t="inlineStr">
        <is>
          <t>Fixed today</t>
        </is>
      </c>
      <c r="E21" s="7" t="inlineStr"/>
    </row>
    <row r="22">
      <c r="A22" s="7" t="inlineStr">
        <is>
          <t>Fast Track was a tab</t>
        </is>
      </c>
      <c r="B22" s="7" t="inlineStr">
        <is>
          <t>It's a mode that walks across tabs, so it's now a 'Start Fast Track' button</t>
        </is>
      </c>
      <c r="C22" s="7" t="inlineStr">
        <is>
          <t>My Money</t>
        </is>
      </c>
      <c r="D22" s="7" t="inlineStr">
        <is>
          <t>Fixed today</t>
        </is>
      </c>
      <c r="E22" s="7" t="inlineStr"/>
    </row>
    <row r="23">
      <c r="A23" s="7" t="inlineStr">
        <is>
          <t>Express form was a separate button</t>
        </is>
      </c>
      <c r="B23" s="7" t="inlineStr">
        <is>
          <t>Now a 'By section | One page' toggle on My Money</t>
        </is>
      </c>
      <c r="C23" s="7" t="inlineStr">
        <is>
          <t>My Money</t>
        </is>
      </c>
      <c r="D23" s="7" t="inlineStr">
        <is>
          <t>Fixed today</t>
        </is>
      </c>
      <c r="E23" s="7" t="inlineStr"/>
    </row>
    <row r="24">
      <c r="A24" s="7" t="inlineStr">
        <is>
          <t>Home tried to do everything</t>
        </is>
      </c>
      <c r="B24" s="7" t="inlineStr">
        <is>
          <t>Home now has three moments (Prep, Live, Wrap-up) that switch on their own; each shows only what that moment needs and one main button</t>
        </is>
      </c>
      <c r="C24" s="7" t="inlineStr">
        <is>
          <t>Home</t>
        </is>
      </c>
      <c r="D24" s="7" t="inlineStr">
        <is>
          <t>Fixed today</t>
        </is>
      </c>
      <c r="E24" s="7" t="inlineStr"/>
    </row>
    <row r="25">
      <c r="A25" s="7" t="inlineStr">
        <is>
          <t>'Why are you here' sat on Home</t>
        </is>
      </c>
      <c r="B25" s="7" t="inlineStr">
        <is>
          <t>Moved to My Money &gt; Profile &gt; Why now (its one home); the Live agenda's step 1 links to it</t>
        </is>
      </c>
      <c r="C25" s="7" t="inlineStr">
        <is>
          <t>Home, Profile</t>
        </is>
      </c>
      <c r="D25" s="7" t="inlineStr">
        <is>
          <t>Fixed today</t>
        </is>
      </c>
      <c r="E25" s="7" t="inlineStr"/>
    </row>
    <row r="26">
      <c r="A26" s="7" t="inlineStr">
        <is>
          <t>Gates were scattered</t>
        </is>
      </c>
      <c r="B26" s="7" t="inlineStr">
        <is>
          <t>Gates hub in Profile; hidden areas show a slim '+ Add [area]' link</t>
        </is>
      </c>
      <c r="C26" s="7" t="inlineStr">
        <is>
          <t>Profile</t>
        </is>
      </c>
      <c r="D26" s="7" t="inlineStr">
        <is>
          <t>Fixed today</t>
        </is>
      </c>
      <c r="E26" s="7" t="inlineStr"/>
    </row>
    <row r="27">
      <c r="A27" s="7" t="inlineStr">
        <is>
          <t>Top bar had 11 loose items</t>
        </is>
      </c>
      <c r="B27" s="7" t="inlineStr">
        <is>
          <t>Grouped into left (where am I), middle (5 tabs), right (8 tools)</t>
        </is>
      </c>
      <c r="C27" s="7" t="inlineStr">
        <is>
          <t>All screens</t>
        </is>
      </c>
      <c r="D27" s="7" t="inlineStr">
        <is>
          <t>Fixed today</t>
        </is>
      </c>
      <c r="E27" s="7" t="inlineStr"/>
    </row>
    <row r="28">
      <c r="A28" s="5" t="inlineStr">
        <is>
          <t>WATCH</t>
        </is>
      </c>
      <c r="B28" s="6" t="n"/>
      <c r="C28" s="6" t="n"/>
      <c r="D28" s="6" t="n"/>
      <c r="E28" s="6" t="n"/>
    </row>
    <row r="29">
      <c r="A29" s="7" t="inlineStr">
        <is>
          <t>Two tabs sounded alike</t>
        </is>
      </c>
      <c r="B29" s="7" t="inlineStr">
        <is>
          <t>My Money and Report renamed to My Money (enter facts about today) and Report (read the summary)</t>
        </is>
      </c>
      <c r="C29" s="7" t="inlineStr">
        <is>
          <t>Main tabs</t>
        </is>
      </c>
      <c r="D29" s="7" t="inlineStr">
        <is>
          <t>Fixed today</t>
        </is>
      </c>
      <c r="E29" s="7" t="inlineStr"/>
    </row>
    <row r="30">
      <c r="A30" s="7" t="inlineStr">
        <is>
          <t>Paid with was 4 clicks deep</t>
        </is>
      </c>
      <c r="B30" s="7" t="inlineStr">
        <is>
          <t>Now 3 clicks via More ▸, or 1 action for many bills via bulk select. The ⋯ menu was removed so there is one way in</t>
        </is>
      </c>
      <c r="C30" s="7" t="inlineStr">
        <is>
          <t>Budget</t>
        </is>
      </c>
      <c r="D30" s="7" t="inlineStr">
        <is>
          <t>Fixed today</t>
        </is>
      </c>
      <c r="E30" s="7" t="inlineStr"/>
    </row>
    <row r="31">
      <c r="A31" s="8" t="inlineStr">
        <is>
          <t>Visuals panel next to forms</t>
        </is>
      </c>
      <c r="B31" s="8" t="inlineStr">
        <is>
          <t>Charts beside inputs can crowd the screen; default to Side on wide screens, Below on narrow, Hide is one click</t>
        </is>
      </c>
      <c r="C31" s="8" t="inlineStr">
        <is>
          <t>My Money</t>
        </is>
      </c>
      <c r="D31" s="8" t="inlineStr">
        <is>
          <t>Watch</t>
        </is>
      </c>
      <c r="E31" s="8" t="inlineStr"/>
    </row>
    <row r="32">
      <c r="A32" s="8" t="inlineStr">
        <is>
          <t>Client view</t>
        </is>
      </c>
      <c r="B32" s="8" t="inlineStr">
        <is>
          <t>Make sure nothing private leaks into charts or the one-pager</t>
        </is>
      </c>
      <c r="C32" s="8" t="inlineStr">
        <is>
          <t>All screens</t>
        </is>
      </c>
      <c r="D32" s="8" t="inlineStr">
        <is>
          <t>Watch</t>
        </is>
      </c>
      <c r="E32" s="8"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18" customWidth="1" min="1" max="1"/>
    <col width="40" customWidth="1" min="2" max="2"/>
    <col width="50" customWidth="1" min="3" max="3"/>
    <col width="22" customWidth="1" min="4" max="4"/>
    <col width="14" customWidth="1" min="5" max="5"/>
    <col width="40" customWidth="1" min="6" max="6"/>
  </cols>
  <sheetData>
    <row r="1">
      <c r="A1" s="9" t="inlineStr">
        <is>
          <t>Screen</t>
        </is>
      </c>
      <c r="B1" s="9" t="inlineStr">
        <is>
          <t>Sub-tabs</t>
        </is>
      </c>
      <c r="C1" s="9" t="inlineStr">
        <is>
          <t>Purpose</t>
        </is>
      </c>
      <c r="D1" s="9" t="inlineStr">
        <is>
          <t>When it's used</t>
        </is>
      </c>
      <c r="E1" s="9" t="inlineStr">
        <is>
          <t>Who sees it</t>
        </is>
      </c>
      <c r="F1" s="9" t="inlineStr">
        <is>
          <t>Your comments</t>
        </is>
      </c>
    </row>
    <row r="2">
      <c r="A2" s="10" t="inlineStr">
        <is>
          <t>Home</t>
        </is>
      </c>
      <c r="B2" s="10" t="inlineStr">
        <is>
          <t>Prep, Live, Wrap-up (switch on their own)</t>
        </is>
      </c>
      <c r="C2" s="10" t="inlineStr">
        <is>
          <t>The session cockpit: where the client is, what we're doing today, the one next thing</t>
        </is>
      </c>
      <c r="D2" s="10" t="inlineStr">
        <is>
          <t>Every call</t>
        </is>
      </c>
      <c r="E2" s="10" t="inlineStr">
        <is>
          <t>You and client</t>
        </is>
      </c>
      <c r="F2" s="10" t="n"/>
    </row>
    <row r="3">
      <c r="A3" s="10" t="inlineStr">
        <is>
          <t>My Money</t>
        </is>
      </c>
      <c r="B3" s="10" t="inlineStr">
        <is>
          <t>Profile, Income, Debt, Assets, Protection, Taxes</t>
        </is>
      </c>
      <c r="C3" s="10" t="inlineStr">
        <is>
          <t>Facts about today. Fast Track and One page are modes on top of these tabs</t>
        </is>
      </c>
      <c r="D3" s="10" t="inlineStr">
        <is>
          <t>Session 1 and updates</t>
        </is>
      </c>
      <c r="E3" s="10" t="inlineStr">
        <is>
          <t>You and client</t>
        </is>
      </c>
      <c r="F3" s="10" t="n"/>
    </row>
    <row r="4">
      <c r="A4" s="10" t="inlineStr">
        <is>
          <t>Spending</t>
        </is>
      </c>
      <c r="B4" s="10" t="inlineStr">
        <is>
          <t>Budget, Cash flow calendar, Month-end close</t>
        </is>
      </c>
      <c r="C4" s="10" t="inlineStr">
        <is>
          <t>This month: the five passes, the calendar, the close</t>
        </is>
      </c>
      <c r="D4" s="10" t="inlineStr">
        <is>
          <t>Session 1 and monthly</t>
        </is>
      </c>
      <c r="E4" s="10" t="inlineStr">
        <is>
          <t>You and client</t>
        </is>
      </c>
      <c r="F4" s="10" t="n"/>
    </row>
    <row r="5">
      <c r="A5" s="10" t="inlineStr">
        <is>
          <t>Plan</t>
        </is>
      </c>
      <c r="B5" s="10" t="inlineStr">
        <is>
          <t>Goals, Timeline, Debt payoff, Next 12 months, Scenarios</t>
        </is>
      </c>
      <c r="C5" s="10" t="inlineStr">
        <is>
          <t>The future: what you're aiming for and what moves it</t>
        </is>
      </c>
      <c r="D5" s="10" t="inlineStr">
        <is>
          <t>End of call reveal, check-ins</t>
        </is>
      </c>
      <c r="E5" s="10" t="inlineStr">
        <is>
          <t>You and client</t>
        </is>
      </c>
      <c r="F5" s="10" t="n"/>
    </row>
    <row r="6">
      <c r="A6" s="10" t="inlineStr">
        <is>
          <t>Report</t>
        </is>
      </c>
      <c r="B6" s="10" t="inlineStr">
        <is>
          <t>Overview, One-pager, History</t>
        </is>
      </c>
      <c r="C6" s="10" t="inlineStr">
        <is>
          <t>The report: read-only views of everything above</t>
        </is>
      </c>
      <c r="D6" s="10" t="inlineStr">
        <is>
          <t>End of call, monthly</t>
        </is>
      </c>
      <c r="E6" s="10" t="inlineStr">
        <is>
          <t>You and client</t>
        </is>
      </c>
      <c r="F6" s="10" t="n"/>
    </row>
    <row r="7">
      <c r="A7" s="10" t="inlineStr">
        <is>
          <t>Discovery (sales call)</t>
        </is>
      </c>
      <c r="B7" s="10" t="n"/>
      <c r="C7" s="10" t="inlineStr">
        <is>
          <t>Quick table that creates the client and fills the map</t>
        </is>
      </c>
      <c r="D7" s="10" t="inlineStr">
        <is>
          <t>Sales call</t>
        </is>
      </c>
      <c r="E7" s="10" t="inlineStr">
        <is>
          <t>You only</t>
        </is>
      </c>
      <c r="F7" s="10" t="n"/>
    </row>
    <row r="8">
      <c r="A8" s="10" t="inlineStr">
        <is>
          <t>Pre-call form (client)</t>
        </is>
      </c>
      <c r="B8" s="10" t="n"/>
      <c r="C8" s="10" t="inlineStr">
        <is>
          <t>Same questions as Profile, tap-only, for the client. Later phase</t>
        </is>
      </c>
      <c r="D8" s="10" t="inlineStr">
        <is>
          <t>Before session 1</t>
        </is>
      </c>
      <c r="E8" s="10" t="inlineStr">
        <is>
          <t>Client</t>
        </is>
      </c>
      <c r="F8" s="10" t="n"/>
    </row>
    <row r="9">
      <c r="A9" s="10" t="inlineStr">
        <is>
          <t>Coach tools (⚙)</t>
        </is>
      </c>
      <c r="B9" s="10" t="inlineStr">
        <is>
          <t>Lists, Data, Session</t>
        </is>
      </c>
      <c r="C9" s="10" t="inlineStr">
        <is>
          <t>Revisit list, homework, snapshots, export, reset, notes, settings</t>
        </is>
      </c>
      <c r="D9" s="10" t="inlineStr">
        <is>
          <t>Before and after calls</t>
        </is>
      </c>
      <c r="E9" s="10" t="inlineStr">
        <is>
          <t>You only</t>
        </is>
      </c>
      <c r="F9" s="10" t="n"/>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491"/>
  <sheetViews>
    <sheetView workbookViewId="0">
      <pane xSplit="3" ySplit="5" topLeftCell="D6"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10" customWidth="1" min="2" max="2"/>
    <col width="11" customWidth="1" min="3" max="3"/>
    <col width="19" customWidth="1" min="4" max="4"/>
    <col width="19" customWidth="1" min="5" max="5"/>
    <col width="19" customWidth="1" min="6" max="6"/>
    <col width="19" customWidth="1" min="7" max="7"/>
    <col width="19" customWidth="1" min="8" max="8"/>
    <col width="19" customWidth="1" min="9" max="9"/>
    <col width="19" customWidth="1" min="10" max="10"/>
    <col width="19" customWidth="1" min="11" max="11"/>
    <col width="19" customWidth="1" min="12" max="12"/>
    <col width="19" customWidth="1" min="13" max="13"/>
    <col width="19" customWidth="1" min="14" max="14"/>
    <col width="36" customWidth="1" min="15" max="15"/>
  </cols>
  <sheetData>
    <row r="1">
      <c r="A1" s="1" t="inlineStr">
        <is>
          <t>SLAM screen mockup: each cell is one thing on screen, left to right</t>
        </is>
      </c>
    </row>
    <row r="2" ht="30" customHeight="1">
      <c r="A2" s="11" t="inlineStr">
        <is>
          <t>How to read it: each item has Primary, Secondary and Tertiary layers. Under each layer, row 1 is what it looks like, row 2 is what kind of thing it is, row 3 is what it does. Move or edit cells freely; put comments in the last column.</t>
        </is>
      </c>
    </row>
    <row r="3" ht="42" customHeight="1">
      <c r="A3" s="12" t="inlineStr">
        <is>
          <t>Legend</t>
        </is>
      </c>
      <c r="B3" s="13" t="inlineStr">
        <is>
          <t>Field: Type a value</t>
        </is>
      </c>
      <c r="C3" s="14" t="inlineStr">
        <is>
          <t>Picker: Type a little, pick from a list</t>
        </is>
      </c>
      <c r="D3" s="14" t="inlineStr">
        <is>
          <t>Dropdown: Pick one from a short list</t>
        </is>
      </c>
      <c r="E3" s="14" t="inlineStr">
        <is>
          <t>Toggle: Two or three choices side by side</t>
        </is>
      </c>
      <c r="F3" s="14" t="inlineStr">
        <is>
          <t>Stepper: Minus and plus to set a count</t>
        </is>
      </c>
      <c r="G3" s="15" t="inlineStr">
        <is>
          <t>Button: Does something when clicked</t>
        </is>
      </c>
      <c r="H3" s="16" t="inlineStr">
        <is>
          <t>Icon button: Small button (duplicate, delete, reset)</t>
        </is>
      </c>
      <c r="I3" s="17" t="inlineStr">
        <is>
          <t>Caret: Opens or closes the next layer</t>
        </is>
      </c>
      <c r="J3" s="18" t="inlineStr">
        <is>
          <t>Status tag: Know it / Roughly / Not sure / Will email / Not now / Not for me</t>
        </is>
      </c>
      <c r="K3" s="19" t="inlineStr">
        <is>
          <t>Computed: App works it out, never typed</t>
        </is>
      </c>
      <c r="L3" s="20" t="inlineStr">
        <is>
          <t>Label: Text only, not clickable</t>
        </is>
      </c>
      <c r="M3" s="21" t="inlineStr">
        <is>
          <t>Tab: Switches the screen or sub-screen</t>
        </is>
      </c>
      <c r="N3" s="22" t="inlineStr">
        <is>
          <t>Chart: Visual</t>
        </is>
      </c>
      <c r="O3" s="23" t="inlineStr">
        <is>
          <t>Card: A box holding a few lines or a link</t>
        </is>
      </c>
    </row>
    <row r="5">
      <c r="A5" s="9" t="inlineStr">
        <is>
          <t>Screen › Section › Item</t>
        </is>
      </c>
      <c r="B5" s="9" t="inlineStr">
        <is>
          <t>Layer</t>
        </is>
      </c>
      <c r="C5" s="9" t="inlineStr">
        <is>
          <t>Row</t>
        </is>
      </c>
      <c r="D5" s="9" t="inlineStr">
        <is>
          <t>1</t>
        </is>
      </c>
      <c r="E5" s="9" t="inlineStr">
        <is>
          <t>2</t>
        </is>
      </c>
      <c r="F5" s="9" t="inlineStr">
        <is>
          <t>3</t>
        </is>
      </c>
      <c r="G5" s="9" t="inlineStr">
        <is>
          <t>4</t>
        </is>
      </c>
      <c r="H5" s="9" t="inlineStr">
        <is>
          <t>5</t>
        </is>
      </c>
      <c r="I5" s="9" t="inlineStr">
        <is>
          <t>6</t>
        </is>
      </c>
      <c r="J5" s="9" t="inlineStr">
        <is>
          <t>7</t>
        </is>
      </c>
      <c r="K5" s="9" t="inlineStr">
        <is>
          <t>8</t>
        </is>
      </c>
      <c r="L5" s="9" t="inlineStr">
        <is>
          <t>9</t>
        </is>
      </c>
      <c r="M5" s="9" t="inlineStr">
        <is>
          <t>10</t>
        </is>
      </c>
      <c r="N5" s="9" t="inlineStr">
        <is>
          <t>11</t>
        </is>
      </c>
      <c r="O5" s="9" t="inlineStr">
        <is>
          <t>Your comments</t>
        </is>
      </c>
    </row>
    <row r="6" ht="22" customHeight="1">
      <c r="A6" s="24" t="inlineStr">
        <is>
          <t>ALL SCREENS</t>
        </is>
      </c>
      <c r="B6" s="6" t="n"/>
      <c r="C6" s="6" t="n"/>
      <c r="D6" s="6" t="n"/>
      <c r="E6" s="6" t="n"/>
      <c r="F6" s="6" t="n"/>
      <c r="G6" s="6" t="n"/>
      <c r="H6" s="6" t="n"/>
      <c r="I6" s="6" t="n"/>
      <c r="J6" s="6" t="n"/>
      <c r="K6" s="6" t="n"/>
      <c r="L6" s="6" t="n"/>
      <c r="M6" s="6" t="n"/>
      <c r="N6" s="6" t="n"/>
      <c r="O6" s="6" t="n"/>
    </row>
    <row r="7">
      <c r="A7" s="25" t="inlineStr">
        <is>
          <t>Top bar › Left: where am I</t>
        </is>
      </c>
      <c r="B7" s="26" t="n"/>
      <c r="C7" s="26" t="n"/>
      <c r="D7" s="26" t="n"/>
      <c r="E7" s="26" t="n"/>
      <c r="F7" s="26" t="n"/>
      <c r="G7" s="26" t="n"/>
      <c r="H7" s="26" t="n"/>
      <c r="I7" s="26" t="n"/>
      <c r="J7" s="26" t="n"/>
      <c r="K7" s="26" t="n"/>
      <c r="L7" s="26" t="n"/>
      <c r="M7" s="26" t="n"/>
      <c r="N7" s="26" t="n"/>
      <c r="O7" s="27" t="inlineStr">
        <is>
          <t>Trunk test: site, client, page and section always visible here</t>
        </is>
      </c>
    </row>
    <row r="8" ht="30" customHeight="1">
      <c r="B8" s="12" t="inlineStr">
        <is>
          <t>Primary</t>
        </is>
      </c>
      <c r="C8" s="28" t="inlineStr">
        <is>
          <t>Looks like</t>
        </is>
      </c>
      <c r="D8" s="20" t="inlineStr">
        <is>
          <t>SLAM</t>
        </is>
      </c>
      <c r="E8" s="14" t="inlineStr">
        <is>
          <t>Maya R. ▾</t>
        </is>
      </c>
      <c r="F8" s="20" t="inlineStr">
        <is>
          <t>My Money › Debt</t>
        </is>
      </c>
      <c r="G8" s="19" t="inlineStr">
        <is>
          <t>Saved ✓</t>
        </is>
      </c>
    </row>
    <row r="9" ht="16" customHeight="1">
      <c r="B9" s="12" t="n"/>
      <c r="C9" s="28" t="inlineStr">
        <is>
          <t>Type</t>
        </is>
      </c>
      <c r="D9" s="29" t="inlineStr">
        <is>
          <t>Label</t>
        </is>
      </c>
      <c r="E9" s="29" t="inlineStr">
        <is>
          <t>Picker</t>
        </is>
      </c>
      <c r="F9" s="29" t="inlineStr">
        <is>
          <t>Label</t>
        </is>
      </c>
      <c r="G9" s="29" t="inlineStr">
        <is>
          <t>Computed</t>
        </is>
      </c>
    </row>
    <row r="10" ht="40" customHeight="1">
      <c r="B10" s="12" t="n"/>
      <c r="C10" s="28" t="inlineStr">
        <is>
          <t>What it does</t>
        </is>
      </c>
      <c r="D10" s="30" t="inlineStr">
        <is>
          <t>Site ID: Stress Less About Money. Click = Home</t>
        </is>
      </c>
      <c r="E10" s="30" t="inlineStr">
        <is>
          <t>Current client; click to switch or '+ New client'</t>
        </is>
      </c>
      <c r="F10" s="30" t="inlineStr">
        <is>
          <t>Breadcrumb after the client name; each part clickable</t>
        </is>
      </c>
      <c r="G10" s="30" t="inlineStr">
        <is>
          <t>Autosaves every change; 'Unsaved' warning before closing</t>
        </is>
      </c>
    </row>
    <row r="12">
      <c r="A12" s="25" t="inlineStr">
        <is>
          <t>Top bar › Middle: main tabs</t>
        </is>
      </c>
      <c r="B12" s="26" t="n"/>
      <c r="C12" s="26" t="n"/>
      <c r="D12" s="26" t="n"/>
      <c r="E12" s="26" t="n"/>
      <c r="F12" s="26" t="n"/>
      <c r="G12" s="26" t="n"/>
      <c r="H12" s="26" t="n"/>
      <c r="I12" s="26" t="n"/>
      <c r="J12" s="26" t="n"/>
      <c r="K12" s="26" t="n"/>
      <c r="L12" s="26" t="n"/>
      <c r="M12" s="26" t="n"/>
      <c r="N12" s="26" t="n"/>
      <c r="O12" s="27" t="inlineStr">
        <is>
          <t>One job per tab. Current tab is underlined and filled</t>
        </is>
      </c>
    </row>
    <row r="13" ht="30" customHeight="1">
      <c r="B13" s="12" t="inlineStr">
        <is>
          <t>Primary</t>
        </is>
      </c>
      <c r="C13" s="28" t="inlineStr">
        <is>
          <t>Looks like</t>
        </is>
      </c>
      <c r="D13" s="21" t="inlineStr">
        <is>
          <t>Home</t>
        </is>
      </c>
      <c r="E13" s="21" t="inlineStr">
        <is>
          <t>My Money</t>
        </is>
      </c>
      <c r="F13" s="21" t="inlineStr">
        <is>
          <t>Spending</t>
        </is>
      </c>
      <c r="G13" s="21" t="inlineStr">
        <is>
          <t>Plan</t>
        </is>
      </c>
      <c r="H13" s="21" t="inlineStr">
        <is>
          <t>Report</t>
        </is>
      </c>
    </row>
    <row r="14" ht="16" customHeight="1">
      <c r="B14" s="12" t="n"/>
      <c r="C14" s="28" t="inlineStr">
        <is>
          <t>Type</t>
        </is>
      </c>
      <c r="D14" s="29" t="inlineStr">
        <is>
          <t>Tab</t>
        </is>
      </c>
      <c r="E14" s="29" t="inlineStr">
        <is>
          <t>Tab</t>
        </is>
      </c>
      <c r="F14" s="29" t="inlineStr">
        <is>
          <t>Tab</t>
        </is>
      </c>
      <c r="G14" s="29" t="inlineStr">
        <is>
          <t>Tab</t>
        </is>
      </c>
      <c r="H14" s="29" t="inlineStr">
        <is>
          <t>Tab</t>
        </is>
      </c>
    </row>
    <row r="15" ht="40" customHeight="1">
      <c r="B15" s="12" t="n"/>
      <c r="C15" s="28" t="inlineStr">
        <is>
          <t>What it does</t>
        </is>
      </c>
      <c r="D15" s="30" t="inlineStr">
        <is>
          <t>This session: before, during, after</t>
        </is>
      </c>
      <c r="E15" s="30" t="inlineStr">
        <is>
          <t>Facts about today</t>
        </is>
      </c>
      <c r="F15" s="30" t="inlineStr">
        <is>
          <t>This month: budget, calendar, close</t>
        </is>
      </c>
      <c r="G15" s="30" t="inlineStr">
        <is>
          <t>The future: goals, timeline, events</t>
        </is>
      </c>
      <c r="H15" s="30" t="inlineStr">
        <is>
          <t>The report: net worth, metrics, one-pager</t>
        </is>
      </c>
    </row>
    <row r="17">
      <c r="A17" s="25" t="inlineStr">
        <is>
          <t>Top bar › Right: tools</t>
        </is>
      </c>
      <c r="B17" s="26" t="n"/>
      <c r="C17" s="26" t="n"/>
      <c r="D17" s="26" t="n"/>
      <c r="E17" s="26" t="n"/>
      <c r="F17" s="26" t="n"/>
      <c r="G17" s="26" t="n"/>
      <c r="H17" s="26" t="n"/>
      <c r="I17" s="26" t="n"/>
      <c r="J17" s="26" t="n"/>
      <c r="K17" s="26" t="n"/>
      <c r="L17" s="26" t="n"/>
      <c r="M17" s="26" t="n"/>
      <c r="N17" s="26" t="n"/>
      <c r="O17" s="27" t="inlineStr">
        <is>
          <t>Same 8 tools, same order, every screen</t>
        </is>
      </c>
    </row>
    <row r="18" ht="30" customHeight="1">
      <c r="B18" s="12" t="inlineStr">
        <is>
          <t>Primary</t>
        </is>
      </c>
      <c r="C18" s="28" t="inlineStr">
        <is>
          <t>Looks like</t>
        </is>
      </c>
      <c r="D18" s="13" t="inlineStr">
        <is>
          <t>🔍 Find</t>
        </is>
      </c>
      <c r="E18" s="13" t="inlineStr">
        <is>
          <t>+ Add anything</t>
        </is>
      </c>
      <c r="F18" s="16" t="inlineStr">
        <is>
          <t>📝</t>
        </is>
      </c>
      <c r="G18" s="16" t="inlineStr">
        <is>
          <t>↶</t>
        </is>
      </c>
      <c r="H18" s="16" t="inlineStr">
        <is>
          <t>↷</t>
        </is>
      </c>
      <c r="I18" s="14" t="inlineStr">
        <is>
          <t>$ | Hours | FI days</t>
        </is>
      </c>
      <c r="J18" s="14" t="inlineStr">
        <is>
          <t>Client view</t>
        </is>
      </c>
      <c r="K18" s="16" t="inlineStr">
        <is>
          <t>⚙</t>
        </is>
      </c>
    </row>
    <row r="19" ht="16" customHeight="1">
      <c r="B19" s="12" t="n"/>
      <c r="C19" s="28" t="inlineStr">
        <is>
          <t>Type</t>
        </is>
      </c>
      <c r="D19" s="29" t="inlineStr">
        <is>
          <t>Field</t>
        </is>
      </c>
      <c r="E19" s="29" t="inlineStr">
        <is>
          <t>Field</t>
        </is>
      </c>
      <c r="F19" s="29" t="inlineStr">
        <is>
          <t>Icon button</t>
        </is>
      </c>
      <c r="G19" s="29" t="inlineStr">
        <is>
          <t>Icon button</t>
        </is>
      </c>
      <c r="H19" s="29" t="inlineStr">
        <is>
          <t>Icon button</t>
        </is>
      </c>
      <c r="I19" s="29" t="inlineStr">
        <is>
          <t>Toggle</t>
        </is>
      </c>
      <c r="J19" s="29" t="inlineStr">
        <is>
          <t>Toggle</t>
        </is>
      </c>
      <c r="K19" s="29" t="inlineStr">
        <is>
          <t>Icon button</t>
        </is>
      </c>
    </row>
    <row r="20" ht="40" customHeight="1">
      <c r="B20" s="12" t="n"/>
      <c r="C20" s="28" t="inlineStr">
        <is>
          <t>What it does</t>
        </is>
      </c>
      <c r="D20" s="30" t="inlineStr">
        <is>
          <t>Type any field ('HSA') and jump to it</t>
        </is>
      </c>
      <c r="E20" s="30" t="inlineStr">
        <is>
          <t>Quick add: 'Netflix 15.99 monthly'</t>
        </is>
      </c>
      <c r="F20" s="30" t="inlineStr">
        <is>
          <t>Parking lot: quick note, always one click away</t>
        </is>
      </c>
      <c r="G20" s="30" t="inlineStr">
        <is>
          <t>Undo</t>
        </is>
      </c>
      <c r="H20" s="30" t="inlineStr">
        <is>
          <t>Redo</t>
        </is>
      </c>
      <c r="I20" s="30" t="inlineStr">
        <is>
          <t>Every number converts to time</t>
        </is>
      </c>
      <c r="J20" s="30" t="inlineStr">
        <is>
          <t>Screen-share mode: hides coach-only items, bigger text</t>
        </is>
      </c>
      <c r="K20" s="30" t="inlineStr">
        <is>
          <t>Coach tools</t>
        </is>
      </c>
    </row>
    <row r="22" ht="22" customHeight="1">
      <c r="A22" s="24" t="inlineStr">
        <is>
          <t>HOME</t>
        </is>
      </c>
      <c r="B22" s="6" t="n"/>
      <c r="C22" s="6" t="n"/>
      <c r="D22" s="6" t="n"/>
      <c r="E22" s="6" t="n"/>
      <c r="F22" s="6" t="n"/>
      <c r="G22" s="6" t="n"/>
      <c r="H22" s="6" t="n"/>
      <c r="I22" s="6" t="n"/>
      <c r="J22" s="6" t="n"/>
      <c r="K22" s="6" t="n"/>
      <c r="L22" s="6" t="n"/>
      <c r="M22" s="6" t="n"/>
      <c r="N22" s="6" t="n"/>
      <c r="O22" s="6" t="n"/>
    </row>
    <row r="23">
      <c r="A23" s="25" t="inlineStr">
        <is>
          <t>Purpose › What Home is for</t>
        </is>
      </c>
      <c r="B23" s="26" t="n"/>
      <c r="C23" s="26" t="n"/>
      <c r="D23" s="26" t="n"/>
      <c r="E23" s="26" t="n"/>
      <c r="F23" s="26" t="n"/>
      <c r="G23" s="26" t="n"/>
      <c r="H23" s="26" t="n"/>
      <c r="I23" s="26" t="n"/>
      <c r="J23" s="26" t="n"/>
      <c r="K23" s="26" t="n"/>
      <c r="L23" s="26" t="n"/>
      <c r="M23" s="26" t="n"/>
      <c r="N23" s="26" t="n"/>
      <c r="O23" s="27" t="inlineStr">
        <is>
          <t>Home is the session cockpit. Data entry lives in My Money and Spending; reports live in Report</t>
        </is>
      </c>
    </row>
    <row r="24" ht="30" customHeight="1">
      <c r="B24" s="12" t="inlineStr">
        <is>
          <t>Primary</t>
        </is>
      </c>
      <c r="C24" s="28" t="inlineStr">
        <is>
          <t>Looks like</t>
        </is>
      </c>
      <c r="D24" s="20" t="inlineStr">
        <is>
          <t>Answers 3 questions in 5 seconds</t>
        </is>
      </c>
      <c r="E24" s="20" t="inlineStr">
        <is>
          <t>Changes by moment</t>
        </is>
      </c>
    </row>
    <row r="25" ht="16" customHeight="1">
      <c r="B25" s="12" t="n"/>
      <c r="C25" s="28" t="inlineStr">
        <is>
          <t>Type</t>
        </is>
      </c>
      <c r="D25" s="29" t="inlineStr">
        <is>
          <t>Label</t>
        </is>
      </c>
      <c r="E25" s="29" t="inlineStr">
        <is>
          <t>Label</t>
        </is>
      </c>
    </row>
    <row r="26" ht="40" customHeight="1">
      <c r="B26" s="12" t="n"/>
      <c r="C26" s="28" t="inlineStr">
        <is>
          <t>What it does</t>
        </is>
      </c>
      <c r="D26" s="30" t="inlineStr">
        <is>
          <t>1. Where is this client now? 2. What are we doing today? 3. What's the one next thing?</t>
        </is>
      </c>
      <c r="E26" s="30" t="inlineStr">
        <is>
          <t>Before the call = Prep. During = Live. After = Wrap-up. Switches on its own when you press Start session / End session</t>
        </is>
      </c>
    </row>
    <row r="28">
      <c r="A28" s="25" t="inlineStr">
        <is>
          <t>Every mode › Client strip</t>
        </is>
      </c>
      <c r="B28" s="26" t="n"/>
      <c r="C28" s="26" t="n"/>
      <c r="D28" s="26" t="n"/>
      <c r="E28" s="26" t="n"/>
      <c r="F28" s="26" t="n"/>
      <c r="G28" s="26" t="n"/>
      <c r="H28" s="26" t="n"/>
      <c r="I28" s="26" t="n"/>
      <c r="J28" s="26" t="n"/>
      <c r="K28" s="26" t="n"/>
      <c r="L28" s="26" t="n"/>
      <c r="M28" s="26" t="n"/>
      <c r="N28" s="26" t="n"/>
      <c r="O28" s="26" t="n"/>
    </row>
    <row r="29" ht="30" customHeight="1">
      <c r="B29" s="12" t="inlineStr">
        <is>
          <t>Primary</t>
        </is>
      </c>
      <c r="C29" s="28" t="inlineStr">
        <is>
          <t>Looks like</t>
        </is>
      </c>
      <c r="D29" s="20" t="inlineStr">
        <is>
          <t>Maya R.</t>
        </is>
      </c>
      <c r="E29" s="19" t="inlineStr">
        <is>
          <t>Session 2 of 6</t>
        </is>
      </c>
      <c r="F29" s="14" t="inlineStr">
        <is>
          <t>Next: Nov 12</t>
        </is>
      </c>
      <c r="G29" s="14" t="inlineStr">
        <is>
          <t>Active ▾</t>
        </is>
      </c>
      <c r="H29" s="21" t="inlineStr">
        <is>
          <t>Prep | Live | Wrap-up</t>
        </is>
      </c>
    </row>
    <row r="30" ht="16" customHeight="1">
      <c r="B30" s="12" t="n"/>
      <c r="C30" s="28" t="inlineStr">
        <is>
          <t>Type</t>
        </is>
      </c>
      <c r="D30" s="29" t="inlineStr">
        <is>
          <t>Label</t>
        </is>
      </c>
      <c r="E30" s="29" t="inlineStr">
        <is>
          <t>Computed</t>
        </is>
      </c>
      <c r="F30" s="29" t="inlineStr">
        <is>
          <t>Picker</t>
        </is>
      </c>
      <c r="G30" s="29" t="inlineStr">
        <is>
          <t>Dropdown</t>
        </is>
      </c>
      <c r="H30" s="29" t="inlineStr">
        <is>
          <t>Tab</t>
        </is>
      </c>
    </row>
    <row r="31" ht="40" customHeight="1">
      <c r="B31" s="12" t="n"/>
      <c r="C31" s="28" t="inlineStr">
        <is>
          <t>What it does</t>
        </is>
      </c>
      <c r="D31" s="30" t="n"/>
      <c r="E31" s="30" t="inlineStr">
        <is>
          <t>Package tracking</t>
        </is>
      </c>
      <c r="F31" s="30" t="n"/>
      <c r="G31" s="30" t="inlineStr">
        <is>
          <t>Active, maintenance, paused</t>
        </is>
      </c>
      <c r="H31" s="30" t="inlineStr">
        <is>
          <t>Current moment; switches itself, can be clicked</t>
        </is>
      </c>
    </row>
    <row r="33">
      <c r="A33" s="25" t="inlineStr">
        <is>
          <t>Every mode › Money in one line</t>
        </is>
      </c>
      <c r="B33" s="26" t="n"/>
      <c r="C33" s="26" t="n"/>
      <c r="D33" s="26" t="n"/>
      <c r="E33" s="26" t="n"/>
      <c r="F33" s="26" t="n"/>
      <c r="G33" s="26" t="n"/>
      <c r="H33" s="26" t="n"/>
      <c r="I33" s="26" t="n"/>
      <c r="J33" s="26" t="n"/>
      <c r="K33" s="26" t="n"/>
      <c r="L33" s="26" t="n"/>
      <c r="M33" s="26" t="n"/>
      <c r="N33" s="26" t="n"/>
      <c r="O33" s="27" t="inlineStr">
        <is>
          <t>Exactly 4 numbers. Everything else is in Report</t>
        </is>
      </c>
    </row>
    <row r="34" ht="30" customHeight="1">
      <c r="B34" s="12" t="inlineStr">
        <is>
          <t>Primary</t>
        </is>
      </c>
      <c r="C34" s="28" t="inlineStr">
        <is>
          <t>Looks like</t>
        </is>
      </c>
      <c r="D34" s="19" t="inlineStr">
        <is>
          <t>“You keep $1,240 a month and are on track for FI at 47.”</t>
        </is>
      </c>
      <c r="E34" s="19" t="inlineStr">
        <is>
          <t>Net worth</t>
        </is>
      </c>
      <c r="F34" s="19" t="inlineStr">
        <is>
          <t>Monthly surplus</t>
        </is>
      </c>
      <c r="G34" s="19" t="inlineStr">
        <is>
          <t>Savings rate</t>
        </is>
      </c>
      <c r="H34" s="19" t="inlineStr">
        <is>
          <t>FI date</t>
        </is>
      </c>
    </row>
    <row r="35" ht="16" customHeight="1">
      <c r="B35" s="12" t="n"/>
      <c r="C35" s="28" t="inlineStr">
        <is>
          <t>Type</t>
        </is>
      </c>
      <c r="D35" s="29" t="inlineStr">
        <is>
          <t>Computed</t>
        </is>
      </c>
      <c r="E35" s="29" t="inlineStr">
        <is>
          <t>Computed</t>
        </is>
      </c>
      <c r="F35" s="29" t="inlineStr">
        <is>
          <t>Computed</t>
        </is>
      </c>
      <c r="G35" s="29" t="inlineStr">
        <is>
          <t>Computed</t>
        </is>
      </c>
      <c r="H35" s="29" t="inlineStr">
        <is>
          <t>Computed</t>
        </is>
      </c>
    </row>
    <row r="36" ht="40" customHeight="1">
      <c r="B36" s="12" t="n"/>
      <c r="C36" s="28" t="inlineStr">
        <is>
          <t>What it does</t>
        </is>
      </c>
      <c r="D36" s="30" t="inlineStr">
        <is>
          <t>One plain sentence</t>
        </is>
      </c>
      <c r="E36" s="30" t="inlineStr">
        <is>
          <t>Click = Report</t>
        </is>
      </c>
      <c r="F36" s="30" t="inlineStr">
        <is>
          <t>Click = Spending</t>
        </is>
      </c>
      <c r="G36" s="30" t="inlineStr">
        <is>
          <t>Click = Report</t>
        </is>
      </c>
      <c r="H36" s="30" t="inlineStr">
        <is>
          <t>Click = Plan</t>
        </is>
      </c>
    </row>
    <row r="37" ht="30" customHeight="1">
      <c r="B37" s="12" t="inlineStr">
        <is>
          <t>Secondary</t>
        </is>
      </c>
      <c r="C37" s="28" t="inlineStr">
        <is>
          <t>Looks like</t>
        </is>
      </c>
      <c r="D37" s="19" t="inlineStr">
        <is>
          <t>Since last session ▲</t>
        </is>
      </c>
    </row>
    <row r="38" ht="16" customHeight="1">
      <c r="B38" s="12" t="n"/>
      <c r="C38" s="28" t="inlineStr">
        <is>
          <t>Type</t>
        </is>
      </c>
      <c r="D38" s="29" t="inlineStr">
        <is>
          <t>Computed</t>
        </is>
      </c>
    </row>
    <row r="39" ht="40" customHeight="1">
      <c r="B39" s="12" t="n"/>
      <c r="C39" s="28" t="inlineStr">
        <is>
          <t>What it does</t>
        </is>
      </c>
      <c r="D39" s="30" t="inlineStr">
        <is>
          <t>Small arrows on each number</t>
        </is>
      </c>
    </row>
    <row r="41">
      <c r="A41" s="25" t="inlineStr">
        <is>
          <t>Prep (before the call) › Prep</t>
        </is>
      </c>
      <c r="B41" s="26" t="n"/>
      <c r="C41" s="26" t="n"/>
      <c r="D41" s="26" t="n"/>
      <c r="E41" s="26" t="n"/>
      <c r="F41" s="26" t="n"/>
      <c r="G41" s="26" t="n"/>
      <c r="H41" s="26" t="n"/>
      <c r="I41" s="26" t="n"/>
      <c r="J41" s="26" t="n"/>
      <c r="K41" s="26" t="n"/>
      <c r="L41" s="26" t="n"/>
      <c r="M41" s="26" t="n"/>
      <c r="N41" s="26" t="n"/>
      <c r="O41" s="26" t="n"/>
    </row>
    <row r="42" ht="30" customHeight="1">
      <c r="B42" s="12" t="inlineStr">
        <is>
          <t>Primary</t>
        </is>
      </c>
      <c r="C42" s="28" t="inlineStr">
        <is>
          <t>Looks like</t>
        </is>
      </c>
      <c r="D42" s="23" t="inlineStr">
        <is>
          <t>What changed since last time</t>
        </is>
      </c>
      <c r="E42" s="23" t="inlineStr">
        <is>
          <t>Open homework: 3</t>
        </is>
      </c>
      <c r="F42" s="23" t="inlineStr">
        <is>
          <t>Due for a check: 4</t>
        </is>
      </c>
      <c r="G42" s="23" t="inlineStr">
        <is>
          <t>Parking lot notes: 2</t>
        </is>
      </c>
      <c r="H42" s="15" t="inlineStr">
        <is>
          <t>Start session</t>
        </is>
      </c>
    </row>
    <row r="43" ht="16" customHeight="1">
      <c r="B43" s="12" t="n"/>
      <c r="C43" s="28" t="inlineStr">
        <is>
          <t>Type</t>
        </is>
      </c>
      <c r="D43" s="29" t="inlineStr">
        <is>
          <t>Card</t>
        </is>
      </c>
      <c r="E43" s="29" t="inlineStr">
        <is>
          <t>Card</t>
        </is>
      </c>
      <c r="F43" s="29" t="inlineStr">
        <is>
          <t>Card</t>
        </is>
      </c>
      <c r="G43" s="29" t="inlineStr">
        <is>
          <t>Card</t>
        </is>
      </c>
      <c r="H43" s="29" t="inlineStr">
        <is>
          <t>Button</t>
        </is>
      </c>
    </row>
    <row r="44" ht="40" customHeight="1">
      <c r="B44" s="12" t="n"/>
      <c r="C44" s="28" t="inlineStr">
        <is>
          <t>What it does</t>
        </is>
      </c>
      <c r="D44" s="30" t="inlineStr">
        <is>
          <t>Net worth, debts paid, new numbers</t>
        </is>
      </c>
      <c r="E44" s="30" t="inlineStr">
        <is>
          <t>Click opens the list</t>
        </is>
      </c>
      <c r="F44" s="30" t="inlineStr">
        <is>
          <t>Rough or aged numbers</t>
        </is>
      </c>
      <c r="G44" s="30" t="inlineStr">
        <is>
          <t>Unfiled notes from last time</t>
        </is>
      </c>
      <c r="H44" s="30" t="inlineStr">
        <is>
          <t>The one main button. Switches Home to Live and turns on Guide me</t>
        </is>
      </c>
    </row>
    <row r="45" ht="30" customHeight="1">
      <c r="B45" s="12" t="inlineStr">
        <is>
          <t>Secondary</t>
        </is>
      </c>
      <c r="C45" s="28" t="inlineStr">
        <is>
          <t>Looks like</t>
        </is>
      </c>
      <c r="D45" s="15" t="inlineStr">
        <is>
          <t>Edit today's agenda</t>
        </is>
      </c>
    </row>
    <row r="46" ht="16" customHeight="1">
      <c r="B46" s="12" t="n"/>
      <c r="C46" s="28" t="inlineStr">
        <is>
          <t>Type</t>
        </is>
      </c>
      <c r="D46" s="29" t="inlineStr">
        <is>
          <t>Button</t>
        </is>
      </c>
    </row>
    <row r="47" ht="40" customHeight="1">
      <c r="B47" s="12" t="n"/>
      <c r="C47" s="28" t="inlineStr">
        <is>
          <t>What it does</t>
        </is>
      </c>
      <c r="D47" s="30" t="inlineStr">
        <is>
          <t>Reorder or add steps</t>
        </is>
      </c>
    </row>
    <row r="49">
      <c r="A49" s="25" t="inlineStr">
        <is>
          <t>Live (during the call) › Agenda</t>
        </is>
      </c>
      <c r="B49" s="26" t="n"/>
      <c r="C49" s="26" t="n"/>
      <c r="D49" s="26" t="n"/>
      <c r="E49" s="26" t="n"/>
      <c r="F49" s="26" t="n"/>
      <c r="G49" s="26" t="n"/>
      <c r="H49" s="26" t="n"/>
      <c r="I49" s="26" t="n"/>
      <c r="J49" s="26" t="n"/>
      <c r="K49" s="26" t="n"/>
      <c r="L49" s="26" t="n"/>
      <c r="M49" s="26" t="n"/>
      <c r="N49" s="26" t="n"/>
      <c r="O49" s="26" t="n"/>
    </row>
    <row r="50" ht="30" customHeight="1">
      <c r="B50" s="12" t="inlineStr">
        <is>
          <t>Primary</t>
        </is>
      </c>
      <c r="C50" s="28" t="inlineStr">
        <is>
          <t>Looks like</t>
        </is>
      </c>
      <c r="D50" s="23" t="inlineStr">
        <is>
          <t>1. Why now ✓</t>
        </is>
      </c>
      <c r="E50" s="23" t="inlineStr">
        <is>
          <t>2. Debt and cash</t>
        </is>
      </c>
      <c r="F50" s="23" t="inlineStr">
        <is>
          <t>3. Spending basics</t>
        </is>
      </c>
      <c r="G50" s="23" t="inlineStr">
        <is>
          <t>4. FI reveal</t>
        </is>
      </c>
      <c r="H50" s="15" t="inlineStr">
        <is>
          <t>Next step ›</t>
        </is>
      </c>
      <c r="I50" s="19" t="inlineStr">
        <is>
          <t>22 min left</t>
        </is>
      </c>
    </row>
    <row r="51" ht="16" customHeight="1">
      <c r="B51" s="12" t="n"/>
      <c r="C51" s="28" t="inlineStr">
        <is>
          <t>Type</t>
        </is>
      </c>
      <c r="D51" s="29" t="inlineStr">
        <is>
          <t>Card</t>
        </is>
      </c>
      <c r="E51" s="29" t="inlineStr">
        <is>
          <t>Card</t>
        </is>
      </c>
      <c r="F51" s="29" t="inlineStr">
        <is>
          <t>Card</t>
        </is>
      </c>
      <c r="G51" s="29" t="inlineStr">
        <is>
          <t>Card</t>
        </is>
      </c>
      <c r="H51" s="29" t="inlineStr">
        <is>
          <t>Button</t>
        </is>
      </c>
      <c r="I51" s="29" t="inlineStr">
        <is>
          <t>Computed</t>
        </is>
      </c>
    </row>
    <row r="52" ht="40" customHeight="1">
      <c r="B52" s="12" t="n"/>
      <c r="C52" s="28" t="inlineStr">
        <is>
          <t>What it does</t>
        </is>
      </c>
      <c r="D52" s="30" t="inlineStr">
        <is>
          <t>Done steps get a check; click jumps to Profile &gt; Why now</t>
        </is>
      </c>
      <c r="E52" s="30" t="inlineStr">
        <is>
          <t>Current step, highlighted</t>
        </is>
      </c>
      <c r="F52" s="30" t="n"/>
      <c r="G52" s="30" t="n"/>
      <c r="H52" s="30" t="inlineStr">
        <is>
          <t>The one main button: jumps to the next field to ask</t>
        </is>
      </c>
      <c r="I52" s="30" t="inlineStr">
        <is>
          <t>From session length</t>
        </is>
      </c>
    </row>
    <row r="54">
      <c r="A54" s="25" t="inlineStr">
        <is>
          <t>Live (during the call) › Next 3 numbers</t>
        </is>
      </c>
      <c r="B54" s="26" t="n"/>
      <c r="C54" s="26" t="n"/>
      <c r="D54" s="26" t="n"/>
      <c r="E54" s="26" t="n"/>
      <c r="F54" s="26" t="n"/>
      <c r="G54" s="26" t="n"/>
      <c r="H54" s="26" t="n"/>
      <c r="I54" s="26" t="n"/>
      <c r="J54" s="26" t="n"/>
      <c r="K54" s="26" t="n"/>
      <c r="L54" s="26" t="n"/>
      <c r="M54" s="26" t="n"/>
      <c r="N54" s="26" t="n"/>
      <c r="O54" s="26" t="n"/>
    </row>
    <row r="55" ht="30" customHeight="1">
      <c r="B55" s="12" t="inlineStr">
        <is>
          <t>Primary</t>
        </is>
      </c>
      <c r="C55" s="28" t="inlineStr">
        <is>
          <t>Looks like</t>
        </is>
      </c>
      <c r="D55" s="23" t="inlineStr">
        <is>
          <t>#1 Credit card APR</t>
        </is>
      </c>
      <c r="E55" s="13" t="inlineStr">
        <is>
          <t>[ % ]</t>
        </is>
      </c>
      <c r="F55" s="23" t="inlineStr">
        <is>
          <t>#2 Rent</t>
        </is>
      </c>
      <c r="G55" s="23" t="inlineStr">
        <is>
          <t>#3 401(k) balance</t>
        </is>
      </c>
    </row>
    <row r="56" ht="16" customHeight="1">
      <c r="B56" s="12" t="n"/>
      <c r="C56" s="28" t="inlineStr">
        <is>
          <t>Type</t>
        </is>
      </c>
      <c r="D56" s="29" t="inlineStr">
        <is>
          <t>Card</t>
        </is>
      </c>
      <c r="E56" s="29" t="inlineStr">
        <is>
          <t>Field</t>
        </is>
      </c>
      <c r="F56" s="29" t="inlineStr">
        <is>
          <t>Card</t>
        </is>
      </c>
      <c r="G56" s="29" t="inlineStr">
        <is>
          <t>Card</t>
        </is>
      </c>
    </row>
    <row r="57" ht="40" customHeight="1">
      <c r="B57" s="12" t="n"/>
      <c r="C57" s="28" t="inlineStr">
        <is>
          <t>What it does</t>
        </is>
      </c>
      <c r="D57" s="30" t="inlineStr">
        <is>
          <t>Biggest effect on FI date; big card</t>
        </is>
      </c>
      <c r="E57" s="30" t="inlineStr">
        <is>
          <t>Fill right here</t>
        </is>
      </c>
      <c r="F57" s="30" t="inlineStr">
        <is>
          <t>Small</t>
        </is>
      </c>
      <c r="G57" s="30" t="inlineStr">
        <is>
          <t>Small</t>
        </is>
      </c>
    </row>
    <row r="59">
      <c r="A59" s="25" t="inlineStr">
        <is>
          <t>Wrap-up (after the call) › Wrap-up checklist</t>
        </is>
      </c>
      <c r="B59" s="26" t="n"/>
      <c r="C59" s="26" t="n"/>
      <c r="D59" s="26" t="n"/>
      <c r="E59" s="26" t="n"/>
      <c r="F59" s="26" t="n"/>
      <c r="G59" s="26" t="n"/>
      <c r="H59" s="26" t="n"/>
      <c r="I59" s="26" t="n"/>
      <c r="J59" s="26" t="n"/>
      <c r="K59" s="26" t="n"/>
      <c r="L59" s="26" t="n"/>
      <c r="M59" s="26" t="n"/>
      <c r="N59" s="26" t="n"/>
      <c r="O59" s="26" t="n"/>
    </row>
    <row r="60" ht="30" customHeight="1">
      <c r="B60" s="12" t="inlineStr">
        <is>
          <t>Primary</t>
        </is>
      </c>
      <c r="C60" s="28" t="inlineStr">
        <is>
          <t>Looks like</t>
        </is>
      </c>
      <c r="D60" s="23" t="inlineStr">
        <is>
          <t>☐ Homework set (3)</t>
        </is>
      </c>
      <c r="E60" s="23" t="inlineStr">
        <is>
          <t>☐ Snapshot saved</t>
        </is>
      </c>
      <c r="F60" s="23" t="inlineStr">
        <is>
          <t>☐ One-pager ready</t>
        </is>
      </c>
      <c r="G60" s="23" t="inlineStr">
        <is>
          <t>☐ Next session booked</t>
        </is>
      </c>
      <c r="H60" s="15" t="inlineStr">
        <is>
          <t>End session</t>
        </is>
      </c>
    </row>
    <row r="61" ht="16" customHeight="1">
      <c r="B61" s="12" t="n"/>
      <c r="C61" s="28" t="inlineStr">
        <is>
          <t>Type</t>
        </is>
      </c>
      <c r="D61" s="29" t="inlineStr">
        <is>
          <t>Card</t>
        </is>
      </c>
      <c r="E61" s="29" t="inlineStr">
        <is>
          <t>Card</t>
        </is>
      </c>
      <c r="F61" s="29" t="inlineStr">
        <is>
          <t>Card</t>
        </is>
      </c>
      <c r="G61" s="29" t="inlineStr">
        <is>
          <t>Card</t>
        </is>
      </c>
      <c r="H61" s="29" t="inlineStr">
        <is>
          <t>Button</t>
        </is>
      </c>
    </row>
    <row r="62" ht="40" customHeight="1">
      <c r="B62" s="12" t="n"/>
      <c r="C62" s="28" t="inlineStr">
        <is>
          <t>What it does</t>
        </is>
      </c>
      <c r="D62" s="30" t="inlineStr">
        <is>
          <t>From fields marked Will email</t>
        </is>
      </c>
      <c r="E62" s="30" t="inlineStr">
        <is>
          <t>Freezes today's numbers</t>
        </is>
      </c>
      <c r="F62" s="30" t="inlineStr">
        <is>
          <t>Opens Report &gt; One-pager</t>
        </is>
      </c>
      <c r="G62" s="30" t="n"/>
      <c r="H62" s="30" t="inlineStr">
        <is>
          <t>The one main button: does all four, then shows Send summary</t>
        </is>
      </c>
    </row>
    <row r="63" ht="30" customHeight="1">
      <c r="B63" s="12" t="inlineStr">
        <is>
          <t>Secondary</t>
        </is>
      </c>
      <c r="C63" s="28" t="inlineStr">
        <is>
          <t>Looks like</t>
        </is>
      </c>
      <c r="D63" s="15" t="inlineStr">
        <is>
          <t>Send summary</t>
        </is>
      </c>
      <c r="E63" s="14" t="inlineStr">
        <is>
          <t>Money feeling 1-10</t>
        </is>
      </c>
    </row>
    <row r="64" ht="16" customHeight="1">
      <c r="B64" s="12" t="n"/>
      <c r="C64" s="28" t="inlineStr">
        <is>
          <t>Type</t>
        </is>
      </c>
      <c r="D64" s="29" t="inlineStr">
        <is>
          <t>Button</t>
        </is>
      </c>
      <c r="E64" s="29" t="inlineStr">
        <is>
          <t>Stepper</t>
        </is>
      </c>
    </row>
    <row r="65" ht="40" customHeight="1">
      <c r="B65" s="12" t="n"/>
      <c r="C65" s="28" t="inlineStr">
        <is>
          <t>What it does</t>
        </is>
      </c>
      <c r="D65" s="30" t="inlineStr">
        <is>
          <t>Email-ready one-pager plus homework</t>
        </is>
      </c>
      <c r="E65" s="30" t="inlineStr">
        <is>
          <t>Asked at the end of each session</t>
        </is>
      </c>
    </row>
    <row r="67">
      <c r="A67" s="25" t="inlineStr">
        <is>
          <t>Every mode › Completion (collapsed)</t>
        </is>
      </c>
      <c r="B67" s="26" t="n"/>
      <c r="C67" s="26" t="n"/>
      <c r="D67" s="26" t="n"/>
      <c r="E67" s="26" t="n"/>
      <c r="F67" s="26" t="n"/>
      <c r="G67" s="26" t="n"/>
      <c r="H67" s="26" t="n"/>
      <c r="I67" s="26" t="n"/>
      <c r="J67" s="26" t="n"/>
      <c r="K67" s="26" t="n"/>
      <c r="L67" s="26" t="n"/>
      <c r="M67" s="26" t="n"/>
      <c r="N67" s="26" t="n"/>
      <c r="O67" s="27" t="inlineStr">
        <is>
          <t>Was a full block before; now one slim bar so Home stays calm</t>
        </is>
      </c>
    </row>
    <row r="68" ht="30" customHeight="1">
      <c r="B68" s="12" t="inlineStr">
        <is>
          <t>Primary</t>
        </is>
      </c>
      <c r="C68" s="28" t="inlineStr">
        <is>
          <t>Looks like</t>
        </is>
      </c>
      <c r="D68" s="19" t="inlineStr">
        <is>
          <t>Picture filled in: 64%</t>
        </is>
      </c>
      <c r="E68" s="17" t="inlineStr">
        <is>
          <t>▸ By section</t>
        </is>
      </c>
    </row>
    <row r="69" ht="16" customHeight="1">
      <c r="B69" s="12" t="n"/>
      <c r="C69" s="28" t="inlineStr">
        <is>
          <t>Type</t>
        </is>
      </c>
      <c r="D69" s="29" t="inlineStr">
        <is>
          <t>Computed</t>
        </is>
      </c>
      <c r="E69" s="29" t="inlineStr">
        <is>
          <t>Caret</t>
        </is>
      </c>
    </row>
    <row r="70" ht="40" customHeight="1">
      <c r="B70" s="12" t="n"/>
      <c r="C70" s="28" t="inlineStr">
        <is>
          <t>What it does</t>
        </is>
      </c>
      <c r="D70" s="30" t="inlineStr">
        <is>
          <t>One slim bar; click to open</t>
        </is>
      </c>
      <c r="E70" s="30" t="inlineStr">
        <is>
          <t>Shows the two bars per section</t>
        </is>
      </c>
    </row>
    <row r="71" ht="30" customHeight="1">
      <c r="B71" s="12" t="inlineStr">
        <is>
          <t>Secondary</t>
        </is>
      </c>
      <c r="C71" s="28" t="inlineStr">
        <is>
          <t>Looks like</t>
        </is>
      </c>
      <c r="D71" s="22" t="inlineStr">
        <is>
          <t>Profile, Income, Debt, Assets, Spending, Plan</t>
        </is>
      </c>
    </row>
    <row r="72" ht="16" customHeight="1">
      <c r="B72" s="12" t="n"/>
      <c r="C72" s="28" t="inlineStr">
        <is>
          <t>Type</t>
        </is>
      </c>
      <c r="D72" s="29" t="inlineStr">
        <is>
          <t>Chart</t>
        </is>
      </c>
    </row>
    <row r="73" ht="40" customHeight="1">
      <c r="B73" s="12" t="n"/>
      <c r="C73" s="28" t="inlineStr">
        <is>
          <t>What it does</t>
        </is>
      </c>
      <c r="D73" s="30" t="inlineStr">
        <is>
          <t>Core and full-detail bars, each with 'What's next ›'</t>
        </is>
      </c>
    </row>
    <row r="75" ht="22" customHeight="1">
      <c r="A75" s="24" t="inlineStr">
        <is>
          <t>MY MONEY</t>
        </is>
      </c>
      <c r="B75" s="6" t="n"/>
      <c r="C75" s="6" t="n"/>
      <c r="D75" s="6" t="n"/>
      <c r="E75" s="6" t="n"/>
      <c r="F75" s="6" t="n"/>
      <c r="G75" s="6" t="n"/>
      <c r="H75" s="6" t="n"/>
      <c r="I75" s="6" t="n"/>
      <c r="J75" s="6" t="n"/>
      <c r="K75" s="6" t="n"/>
      <c r="L75" s="6" t="n"/>
      <c r="M75" s="6" t="n"/>
      <c r="N75" s="6" t="n"/>
      <c r="O75" s="6" t="n"/>
    </row>
    <row r="76">
      <c r="A76" s="25" t="inlineStr">
        <is>
          <t>Sub-tabs › Sub-tab bar</t>
        </is>
      </c>
      <c r="B76" s="26" t="n"/>
      <c r="C76" s="26" t="n"/>
      <c r="D76" s="26" t="n"/>
      <c r="E76" s="26" t="n"/>
      <c r="F76" s="26" t="n"/>
      <c r="G76" s="26" t="n"/>
      <c r="H76" s="26" t="n"/>
      <c r="I76" s="26" t="n"/>
      <c r="J76" s="26" t="n"/>
      <c r="K76" s="26" t="n"/>
      <c r="L76" s="26" t="n"/>
      <c r="M76" s="26" t="n"/>
      <c r="N76" s="26" t="n"/>
      <c r="O76" s="27" t="inlineStr">
        <is>
          <t>Needs moved to Spending (its one home). Goals moved to Plan. Fast Track is a button, not a tab</t>
        </is>
      </c>
    </row>
    <row r="77" ht="30" customHeight="1">
      <c r="B77" s="12" t="inlineStr">
        <is>
          <t>Primary</t>
        </is>
      </c>
      <c r="C77" s="28" t="inlineStr">
        <is>
          <t>Looks like</t>
        </is>
      </c>
      <c r="D77" s="21" t="inlineStr">
        <is>
          <t>Profile</t>
        </is>
      </c>
      <c r="E77" s="21" t="inlineStr">
        <is>
          <t>Income</t>
        </is>
      </c>
      <c r="F77" s="21" t="inlineStr">
        <is>
          <t>Debt</t>
        </is>
      </c>
      <c r="G77" s="21" t="inlineStr">
        <is>
          <t>Assets</t>
        </is>
      </c>
      <c r="H77" s="21" t="inlineStr">
        <is>
          <t>Protection</t>
        </is>
      </c>
      <c r="I77" s="21" t="inlineStr">
        <is>
          <t>Taxes</t>
        </is>
      </c>
      <c r="J77" s="15" t="inlineStr">
        <is>
          <t>Start Fast Track</t>
        </is>
      </c>
      <c r="K77" s="14" t="inlineStr">
        <is>
          <t>By section | One page</t>
        </is>
      </c>
    </row>
    <row r="78" ht="16" customHeight="1">
      <c r="B78" s="12" t="n"/>
      <c r="C78" s="28" t="inlineStr">
        <is>
          <t>Type</t>
        </is>
      </c>
      <c r="D78" s="29" t="inlineStr">
        <is>
          <t>Tab</t>
        </is>
      </c>
      <c r="E78" s="29" t="inlineStr">
        <is>
          <t>Tab</t>
        </is>
      </c>
      <c r="F78" s="29" t="inlineStr">
        <is>
          <t>Tab</t>
        </is>
      </c>
      <c r="G78" s="29" t="inlineStr">
        <is>
          <t>Tab</t>
        </is>
      </c>
      <c r="H78" s="29" t="inlineStr">
        <is>
          <t>Tab</t>
        </is>
      </c>
      <c r="I78" s="29" t="inlineStr">
        <is>
          <t>Tab</t>
        </is>
      </c>
      <c r="J78" s="29" t="inlineStr">
        <is>
          <t>Button</t>
        </is>
      </c>
      <c r="K78" s="29" t="inlineStr">
        <is>
          <t>Toggle</t>
        </is>
      </c>
    </row>
    <row r="79" ht="40" customHeight="1">
      <c r="B79" s="12" t="n"/>
      <c r="C79" s="28" t="inlineStr">
        <is>
          <t>What it does</t>
        </is>
      </c>
      <c r="D79" s="30" t="inlineStr">
        <is>
          <t>Who they are, what applies</t>
        </is>
      </c>
      <c r="E79" s="30" t="n"/>
      <c r="F79" s="30" t="n"/>
      <c r="G79" s="30" t="n"/>
      <c r="H79" s="30" t="inlineStr">
        <is>
          <t>Insurance basics</t>
        </is>
      </c>
      <c r="I79" s="30" t="n"/>
      <c r="J79" s="30" t="inlineStr">
        <is>
          <t>A mode, not a page: walks the Basics pass across all tabs in about 5 minutes</t>
        </is>
      </c>
      <c r="K79" s="30" t="inlineStr">
        <is>
          <t>One page = the Express form</t>
        </is>
      </c>
    </row>
    <row r="80" ht="30" customHeight="1">
      <c r="B80" s="12" t="inlineStr">
        <is>
          <t>Secondary</t>
        </is>
      </c>
      <c r="C80" s="28" t="inlineStr">
        <is>
          <t>Looks like</t>
        </is>
      </c>
      <c r="D80" s="19" t="inlineStr">
        <is>
          <t>Section done: 6 of 9 core</t>
        </is>
      </c>
    </row>
    <row r="81" ht="16" customHeight="1">
      <c r="B81" s="12" t="n"/>
      <c r="C81" s="28" t="inlineStr">
        <is>
          <t>Type</t>
        </is>
      </c>
      <c r="D81" s="29" t="inlineStr">
        <is>
          <t>Computed</t>
        </is>
      </c>
    </row>
    <row r="82" ht="40" customHeight="1">
      <c r="B82" s="12" t="n"/>
      <c r="C82" s="28" t="inlineStr">
        <is>
          <t>What it does</t>
        </is>
      </c>
      <c r="D82" s="30" t="inlineStr">
        <is>
          <t>Completion for this sub-tab</t>
        </is>
      </c>
    </row>
    <row r="84">
      <c r="A84" s="25" t="inlineStr">
        <is>
          <t>Sub-tabs › Visuals panel</t>
        </is>
      </c>
      <c r="B84" s="26" t="n"/>
      <c r="C84" s="26" t="n"/>
      <c r="D84" s="26" t="n"/>
      <c r="E84" s="26" t="n"/>
      <c r="F84" s="26" t="n"/>
      <c r="G84" s="26" t="n"/>
      <c r="H84" s="26" t="n"/>
      <c r="I84" s="26" t="n"/>
      <c r="J84" s="26" t="n"/>
      <c r="K84" s="26" t="n"/>
      <c r="L84" s="26" t="n"/>
      <c r="M84" s="26" t="n"/>
      <c r="N84" s="26" t="n"/>
      <c r="O84" s="27" t="inlineStr">
        <is>
          <t>Your comment: this should have lots of data visualizations and options</t>
        </is>
      </c>
    </row>
    <row r="85" ht="30" customHeight="1">
      <c r="B85" s="12" t="inlineStr">
        <is>
          <t>Primary</t>
        </is>
      </c>
      <c r="C85" s="28" t="inlineStr">
        <is>
          <t>Looks like</t>
        </is>
      </c>
      <c r="D85" s="22" t="inlineStr">
        <is>
          <t>Chart for this sub-tab</t>
        </is>
      </c>
      <c r="E85" s="14" t="inlineStr">
        <is>
          <t>Chart ▾</t>
        </is>
      </c>
      <c r="F85" s="14" t="inlineStr">
        <is>
          <t>Hide | Side | Below</t>
        </is>
      </c>
    </row>
    <row r="86" ht="16" customHeight="1">
      <c r="B86" s="12" t="n"/>
      <c r="C86" s="28" t="inlineStr">
        <is>
          <t>Type</t>
        </is>
      </c>
      <c r="D86" s="29" t="inlineStr">
        <is>
          <t>Chart</t>
        </is>
      </c>
      <c r="E86" s="29" t="inlineStr">
        <is>
          <t>Dropdown</t>
        </is>
      </c>
      <c r="F86" s="29" t="inlineStr">
        <is>
          <t>Toggle</t>
        </is>
      </c>
    </row>
    <row r="87" ht="40" customHeight="1">
      <c r="B87" s="12" t="n"/>
      <c r="C87" s="28" t="inlineStr">
        <is>
          <t>What it does</t>
        </is>
      </c>
      <c r="D87" s="30" t="inlineStr">
        <is>
          <t>Debt: balance by debt and payoff chart. Assets: allocation and liquidity tiers. Income: gross-to-take-home waterfall. Needs: DRAFTT bar. Updates live as you type</t>
        </is>
      </c>
      <c r="E87" s="30" t="inlineStr">
        <is>
          <t>Pick another chart for this sub-tab</t>
        </is>
      </c>
      <c r="F87" s="30" t="inlineStr">
        <is>
          <t>Where the panel sits; collapsed on small screens</t>
        </is>
      </c>
    </row>
    <row r="88" ht="30" customHeight="1">
      <c r="B88" s="12" t="inlineStr">
        <is>
          <t>Secondary</t>
        </is>
      </c>
      <c r="C88" s="28" t="inlineStr">
        <is>
          <t>Looks like</t>
        </is>
      </c>
      <c r="D88" s="14" t="inlineStr">
        <is>
          <t>Money as time</t>
        </is>
      </c>
      <c r="E88" s="14" t="inlineStr">
        <is>
          <t>Compare: last session</t>
        </is>
      </c>
    </row>
    <row r="89" ht="16" customHeight="1">
      <c r="B89" s="12" t="n"/>
      <c r="C89" s="28" t="inlineStr">
        <is>
          <t>Type</t>
        </is>
      </c>
      <c r="D89" s="29" t="inlineStr">
        <is>
          <t>Toggle</t>
        </is>
      </c>
      <c r="E89" s="29" t="inlineStr">
        <is>
          <t>Toggle</t>
        </is>
      </c>
    </row>
    <row r="90" ht="40" customHeight="1">
      <c r="B90" s="12" t="n"/>
      <c r="C90" s="28" t="inlineStr">
        <is>
          <t>What it does</t>
        </is>
      </c>
      <c r="D90" s="30" t="inlineStr">
        <is>
          <t>Show amounts as hours worked or FI days</t>
        </is>
      </c>
      <c r="E90" s="30" t="inlineStr">
        <is>
          <t>Overlay the previous snapshot</t>
        </is>
      </c>
    </row>
    <row r="92">
      <c r="A92" s="25" t="inlineStr">
        <is>
          <t>Profile › Why now</t>
        </is>
      </c>
      <c r="B92" s="26" t="n"/>
      <c r="C92" s="26" t="n"/>
      <c r="D92" s="26" t="n"/>
      <c r="E92" s="26" t="n"/>
      <c r="F92" s="26" t="n"/>
      <c r="G92" s="26" t="n"/>
      <c r="H92" s="26" t="n"/>
      <c r="I92" s="26" t="n"/>
      <c r="J92" s="26" t="n"/>
      <c r="K92" s="26" t="n"/>
      <c r="L92" s="26" t="n"/>
      <c r="M92" s="26" t="n"/>
      <c r="N92" s="26" t="n"/>
      <c r="O92" s="26" t="n"/>
    </row>
    <row r="93" ht="30" customHeight="1">
      <c r="B93" s="12" t="inlineStr">
        <is>
          <t>Primary</t>
        </is>
      </c>
      <c r="C93" s="28" t="inlineStr">
        <is>
          <t>Looks like</t>
        </is>
      </c>
      <c r="D93" s="13" t="inlineStr">
        <is>
          <t>What prompted this call</t>
        </is>
      </c>
      <c r="E93" s="13" t="inlineStr">
        <is>
          <t>Biggest worry</t>
        </is>
      </c>
      <c r="F93" s="13" t="inlineStr">
        <is>
          <t>Goal in their words</t>
        </is>
      </c>
    </row>
    <row r="94" ht="16" customHeight="1">
      <c r="B94" s="12" t="n"/>
      <c r="C94" s="28" t="inlineStr">
        <is>
          <t>Type</t>
        </is>
      </c>
      <c r="D94" s="29" t="inlineStr">
        <is>
          <t>Field</t>
        </is>
      </c>
      <c r="E94" s="29" t="inlineStr">
        <is>
          <t>Field</t>
        </is>
      </c>
      <c r="F94" s="29" t="inlineStr">
        <is>
          <t>Field</t>
        </is>
      </c>
    </row>
    <row r="95" ht="40" customHeight="1">
      <c r="B95" s="12" t="n"/>
      <c r="C95" s="28" t="inlineStr">
        <is>
          <t>What it does</t>
        </is>
      </c>
      <c r="D95" s="30" t="inlineStr">
        <is>
          <t>Client's words; feeds the one-pager</t>
        </is>
      </c>
      <c r="E95" s="30" t="n"/>
      <c r="F95" s="30" t="n"/>
    </row>
    <row r="97">
      <c r="A97" s="25" t="inlineStr">
        <is>
          <t>Profile › What applies to me (gates hub)</t>
        </is>
      </c>
      <c r="B97" s="26" t="n"/>
      <c r="C97" s="26" t="n"/>
      <c r="D97" s="26" t="n"/>
      <c r="E97" s="26" t="n"/>
      <c r="F97" s="26" t="n"/>
      <c r="G97" s="26" t="n"/>
      <c r="H97" s="26" t="n"/>
      <c r="I97" s="26" t="n"/>
      <c r="J97" s="26" t="n"/>
      <c r="K97" s="26" t="n"/>
      <c r="L97" s="26" t="n"/>
      <c r="M97" s="26" t="n"/>
      <c r="N97" s="26" t="n"/>
      <c r="O97" s="26" t="n"/>
    </row>
    <row r="98" ht="30" customHeight="1">
      <c r="B98" s="12" t="inlineStr">
        <is>
          <t>Primary</t>
        </is>
      </c>
      <c r="C98" s="28" t="inlineStr">
        <is>
          <t>Looks like</t>
        </is>
      </c>
      <c r="D98" s="14" t="inlineStr">
        <is>
          <t>Car ✓</t>
        </is>
      </c>
      <c r="E98" s="14" t="inlineStr">
        <is>
          <t>Kids ✗</t>
        </is>
      </c>
      <c r="F98" s="14" t="inlineStr">
        <is>
          <t>Pets ✗</t>
        </is>
      </c>
      <c r="G98" s="14" t="inlineStr">
        <is>
          <t>Rent | Own | Family</t>
        </is>
      </c>
      <c r="H98" s="14" t="inlineStr">
        <is>
          <t>Work ▾</t>
        </is>
      </c>
      <c r="I98" s="14" t="inlineStr">
        <is>
          <t>HSA-eligible ✗</t>
        </is>
      </c>
      <c r="J98" s="14" t="inlineStr">
        <is>
          <t>Equity pay ✗</t>
        </is>
      </c>
      <c r="K98" s="14" t="inlineStr">
        <is>
          <t>Couple ✗</t>
        </is>
      </c>
    </row>
    <row r="99" ht="16" customHeight="1">
      <c r="B99" s="12" t="n"/>
      <c r="C99" s="28" t="inlineStr">
        <is>
          <t>Type</t>
        </is>
      </c>
      <c r="D99" s="29" t="inlineStr">
        <is>
          <t>Toggle</t>
        </is>
      </c>
      <c r="E99" s="29" t="inlineStr">
        <is>
          <t>Toggle</t>
        </is>
      </c>
      <c r="F99" s="29" t="inlineStr">
        <is>
          <t>Toggle</t>
        </is>
      </c>
      <c r="G99" s="29" t="inlineStr">
        <is>
          <t>Toggle</t>
        </is>
      </c>
      <c r="H99" s="29" t="inlineStr">
        <is>
          <t>Dropdown</t>
        </is>
      </c>
      <c r="I99" s="29" t="inlineStr">
        <is>
          <t>Toggle</t>
        </is>
      </c>
      <c r="J99" s="29" t="inlineStr">
        <is>
          <t>Toggle</t>
        </is>
      </c>
      <c r="K99" s="29" t="inlineStr">
        <is>
          <t>Toggle</t>
        </is>
      </c>
    </row>
    <row r="100" ht="40" customHeight="1">
      <c r="B100" s="12" t="n"/>
      <c r="C100" s="28" t="inlineStr">
        <is>
          <t>What it does</t>
        </is>
      </c>
      <c r="D100" s="30" t="inlineStr">
        <is>
          <t>Each gate in one place; changing one adds or removes those sections and jumps there</t>
        </is>
      </c>
      <c r="E100" s="30" t="n"/>
      <c r="F100" s="30" t="n"/>
      <c r="G100" s="30" t="n"/>
      <c r="H100" s="30" t="n"/>
      <c r="I100" s="30" t="n"/>
      <c r="J100" s="30" t="n"/>
      <c r="K100" s="30" t="n"/>
    </row>
    <row r="102">
      <c r="A102" s="25" t="inlineStr">
        <is>
          <t>Profile › About you</t>
        </is>
      </c>
      <c r="B102" s="26" t="n"/>
      <c r="C102" s="26" t="n"/>
      <c r="D102" s="26" t="n"/>
      <c r="E102" s="26" t="n"/>
      <c r="F102" s="26" t="n"/>
      <c r="G102" s="26" t="n"/>
      <c r="H102" s="26" t="n"/>
      <c r="I102" s="26" t="n"/>
      <c r="J102" s="26" t="n"/>
      <c r="K102" s="26" t="n"/>
      <c r="L102" s="26" t="n"/>
      <c r="M102" s="26" t="n"/>
      <c r="N102" s="26" t="n"/>
      <c r="O102" s="26" t="n"/>
    </row>
    <row r="103" ht="30" customHeight="1">
      <c r="B103" s="12" t="inlineStr">
        <is>
          <t>Primary</t>
        </is>
      </c>
      <c r="C103" s="28" t="inlineStr">
        <is>
          <t>Looks like</t>
        </is>
      </c>
      <c r="D103" s="13" t="inlineStr">
        <is>
          <t>First name</t>
        </is>
      </c>
      <c r="E103" s="13" t="inlineStr">
        <is>
          <t>Last name</t>
        </is>
      </c>
      <c r="F103" s="14" t="inlineStr">
        <is>
          <t>Birth month/year</t>
        </is>
      </c>
      <c r="G103" s="14" t="inlineStr">
        <is>
          <t>State ▾</t>
        </is>
      </c>
      <c r="H103" s="14" t="inlineStr">
        <is>
          <t>Solo | Couple</t>
        </is>
      </c>
      <c r="I103" s="17" t="inlineStr">
        <is>
          <t>More ▸</t>
        </is>
      </c>
    </row>
    <row r="104" ht="16" customHeight="1">
      <c r="B104" s="12" t="n"/>
      <c r="C104" s="28" t="inlineStr">
        <is>
          <t>Type</t>
        </is>
      </c>
      <c r="D104" s="29" t="inlineStr">
        <is>
          <t>Field</t>
        </is>
      </c>
      <c r="E104" s="29" t="inlineStr">
        <is>
          <t>Field</t>
        </is>
      </c>
      <c r="F104" s="29" t="inlineStr">
        <is>
          <t>Picker</t>
        </is>
      </c>
      <c r="G104" s="29" t="inlineStr">
        <is>
          <t>Picker</t>
        </is>
      </c>
      <c r="H104" s="29" t="inlineStr">
        <is>
          <t>Toggle</t>
        </is>
      </c>
      <c r="I104" s="29" t="inlineStr">
        <is>
          <t>Caret</t>
        </is>
      </c>
    </row>
    <row r="105" ht="40" customHeight="1">
      <c r="B105" s="12" t="n"/>
      <c r="C105" s="28" t="inlineStr">
        <is>
          <t>What it does</t>
        </is>
      </c>
      <c r="D105" s="30" t="inlineStr">
        <is>
          <t>F001</t>
        </is>
      </c>
      <c r="E105" s="30" t="inlineStr">
        <is>
          <t>F002</t>
        </is>
      </c>
      <c r="F105" s="30" t="inlineStr">
        <is>
          <t>Computes age</t>
        </is>
      </c>
      <c r="G105" s="30" t="inlineStr">
        <is>
          <t>Tax rules</t>
        </is>
      </c>
      <c r="H105" s="30" t="inlineStr">
        <is>
          <t>Couple adds Owner on every row</t>
        </is>
      </c>
      <c r="I105" s="30" t="inlineStr">
        <is>
          <t>Shows Secondary fields. Collapsed by default. Paid with sits at the top of it</t>
        </is>
      </c>
    </row>
    <row r="106" ht="30" customHeight="1">
      <c r="B106" s="12" t="inlineStr">
        <is>
          <t>Secondary</t>
        </is>
      </c>
      <c r="C106" s="28" t="inlineStr">
        <is>
          <t>Looks like</t>
        </is>
      </c>
      <c r="D106" s="13" t="inlineStr">
        <is>
          <t>Partner name</t>
        </is>
      </c>
      <c r="E106" s="14" t="inlineStr">
        <is>
          <t>Partner birth month/year</t>
        </is>
      </c>
      <c r="F106" s="14" t="inlineStr">
        <is>
          <t>Dependents</t>
        </is>
      </c>
      <c r="G106" s="14" t="inlineStr">
        <is>
          <t>Health coverage ▾</t>
        </is>
      </c>
    </row>
    <row r="107" ht="16" customHeight="1">
      <c r="B107" s="12" t="n"/>
      <c r="C107" s="28" t="inlineStr">
        <is>
          <t>Type</t>
        </is>
      </c>
      <c r="D107" s="29" t="inlineStr">
        <is>
          <t>Field</t>
        </is>
      </c>
      <c r="E107" s="29" t="inlineStr">
        <is>
          <t>Picker</t>
        </is>
      </c>
      <c r="F107" s="29" t="inlineStr">
        <is>
          <t>Stepper</t>
        </is>
      </c>
      <c r="G107" s="29" t="inlineStr">
        <is>
          <t>Dropdown</t>
        </is>
      </c>
    </row>
    <row r="108" ht="40" customHeight="1">
      <c r="B108" s="12" t="n"/>
      <c r="C108" s="28" t="inlineStr">
        <is>
          <t>What it does</t>
        </is>
      </c>
      <c r="D108" s="30" t="inlineStr">
        <is>
          <t>Couples only</t>
        </is>
      </c>
      <c r="E108" s="30" t="inlineStr">
        <is>
          <t>Couples only</t>
        </is>
      </c>
      <c r="F108" s="30" t="inlineStr">
        <is>
          <t>Opens an age box per child</t>
        </is>
      </c>
      <c r="G108" s="30" t="inlineStr">
        <is>
          <t>Employer, ACA, parent's plan, Medicaid, none</t>
        </is>
      </c>
    </row>
    <row r="110">
      <c r="A110" s="25" t="inlineStr">
        <is>
          <t>Profile › Work and home</t>
        </is>
      </c>
      <c r="B110" s="26" t="n"/>
      <c r="C110" s="26" t="n"/>
      <c r="D110" s="26" t="n"/>
      <c r="E110" s="26" t="n"/>
      <c r="F110" s="26" t="n"/>
      <c r="G110" s="26" t="n"/>
      <c r="H110" s="26" t="n"/>
      <c r="I110" s="26" t="n"/>
      <c r="J110" s="26" t="n"/>
      <c r="K110" s="26" t="n"/>
      <c r="L110" s="26" t="n"/>
      <c r="M110" s="26" t="n"/>
      <c r="N110" s="26" t="n"/>
      <c r="O110" s="26" t="n"/>
    </row>
    <row r="111" ht="30" customHeight="1">
      <c r="B111" s="12" t="inlineStr">
        <is>
          <t>Primary</t>
        </is>
      </c>
      <c r="C111" s="28" t="inlineStr">
        <is>
          <t>Looks like</t>
        </is>
      </c>
      <c r="D111" s="14" t="inlineStr">
        <is>
          <t>Work situation ▾</t>
        </is>
      </c>
      <c r="E111" s="14" t="inlineStr">
        <is>
          <t>Housing: Rent | Own | Family</t>
        </is>
      </c>
      <c r="F111" s="17" t="inlineStr">
        <is>
          <t>More ▸</t>
        </is>
      </c>
    </row>
    <row r="112" ht="16" customHeight="1">
      <c r="B112" s="12" t="n"/>
      <c r="C112" s="28" t="inlineStr">
        <is>
          <t>Type</t>
        </is>
      </c>
      <c r="D112" s="29" t="inlineStr">
        <is>
          <t>Dropdown</t>
        </is>
      </c>
      <c r="E112" s="29" t="inlineStr">
        <is>
          <t>Toggle</t>
        </is>
      </c>
      <c r="F112" s="29" t="inlineStr">
        <is>
          <t>Caret</t>
        </is>
      </c>
    </row>
    <row r="113" ht="40" customHeight="1">
      <c r="B113" s="12" t="n"/>
      <c r="C113" s="28" t="inlineStr">
        <is>
          <t>What it does</t>
        </is>
      </c>
      <c r="D113" s="30" t="inlineStr">
        <is>
          <t>Situation gate: fields that don't apply disappear</t>
        </is>
      </c>
      <c r="E113" s="30" t="inlineStr">
        <is>
          <t>Gates housing rows and home asset</t>
        </is>
      </c>
      <c r="F113" s="30" t="inlineStr">
        <is>
          <t>Shows Secondary fields. Collapsed by default. Paid with sits at the top of it</t>
        </is>
      </c>
    </row>
    <row r="114" ht="30" customHeight="1">
      <c r="B114" s="12" t="inlineStr">
        <is>
          <t>Secondary</t>
        </is>
      </c>
      <c r="C114" s="28" t="inlineStr">
        <is>
          <t>Looks like</t>
        </is>
      </c>
      <c r="D114" s="14" t="inlineStr">
        <is>
          <t>Roommates</t>
        </is>
      </c>
      <c r="E114" s="14" t="inlineStr">
        <is>
          <t>Worst case: all on me</t>
        </is>
      </c>
      <c r="F114" s="14" t="inlineStr">
        <is>
          <t>Income stability: Steady | Varies | Unpredictable</t>
        </is>
      </c>
    </row>
    <row r="115" ht="16" customHeight="1">
      <c r="B115" s="12" t="n"/>
      <c r="C115" s="28" t="inlineStr">
        <is>
          <t>Type</t>
        </is>
      </c>
      <c r="D115" s="29" t="inlineStr">
        <is>
          <t>Stepper</t>
        </is>
      </c>
      <c r="E115" s="29" t="inlineStr">
        <is>
          <t>Toggle</t>
        </is>
      </c>
      <c r="F115" s="29" t="inlineStr">
        <is>
          <t>Toggle</t>
        </is>
      </c>
    </row>
    <row r="116" ht="40" customHeight="1">
      <c r="B116" s="12" t="n"/>
      <c r="C116" s="28" t="inlineStr">
        <is>
          <t>What it does</t>
        </is>
      </c>
      <c r="D116" s="30" t="inlineStr">
        <is>
          <t>Splits housing cost</t>
        </is>
      </c>
      <c r="E116" s="30" t="inlineStr">
        <is>
          <t>Recalculates with no roommate share</t>
        </is>
      </c>
      <c r="F116" s="30" t="inlineStr">
        <is>
          <t>Adjusts Rule of 5 target</t>
        </is>
      </c>
    </row>
    <row r="118">
      <c r="A118" s="25" t="inlineStr">
        <is>
          <t>Profile › Accounts gate</t>
        </is>
      </c>
      <c r="B118" s="26" t="n"/>
      <c r="C118" s="26" t="n"/>
      <c r="D118" s="26" t="n"/>
      <c r="E118" s="26" t="n"/>
      <c r="F118" s="26" t="n"/>
      <c r="G118" s="26" t="n"/>
      <c r="H118" s="26" t="n"/>
      <c r="I118" s="26" t="n"/>
      <c r="J118" s="26" t="n"/>
      <c r="K118" s="26" t="n"/>
      <c r="L118" s="26" t="n"/>
      <c r="M118" s="26" t="n"/>
      <c r="N118" s="26" t="n"/>
      <c r="O118" s="27" t="inlineStr">
        <is>
          <t>Your comment: cash, investment and real assets each get multiselects</t>
        </is>
      </c>
    </row>
    <row r="119" ht="30" customHeight="1">
      <c r="B119" s="12" t="inlineStr">
        <is>
          <t>Primary</t>
        </is>
      </c>
      <c r="C119" s="28" t="inlineStr">
        <is>
          <t>Looks like</t>
        </is>
      </c>
      <c r="D119" s="14" t="inlineStr">
        <is>
          <t>☐ Cash</t>
        </is>
      </c>
      <c r="E119" s="14" t="inlineStr">
        <is>
          <t>☐ Investments</t>
        </is>
      </c>
      <c r="F119" s="14" t="inlineStr">
        <is>
          <t>☐ Home or car</t>
        </is>
      </c>
      <c r="G119" s="14" t="inlineStr">
        <is>
          <t>☐ Debt</t>
        </is>
      </c>
      <c r="H119" s="14" t="inlineStr">
        <is>
          <t>☐ None of these</t>
        </is>
      </c>
    </row>
    <row r="120" ht="16" customHeight="1">
      <c r="B120" s="12" t="n"/>
      <c r="C120" s="28" t="inlineStr">
        <is>
          <t>Type</t>
        </is>
      </c>
      <c r="D120" s="29" t="inlineStr">
        <is>
          <t>Toggle</t>
        </is>
      </c>
      <c r="E120" s="29" t="inlineStr">
        <is>
          <t>Toggle</t>
        </is>
      </c>
      <c r="F120" s="29" t="inlineStr">
        <is>
          <t>Toggle</t>
        </is>
      </c>
      <c r="G120" s="29" t="inlineStr">
        <is>
          <t>Toggle</t>
        </is>
      </c>
      <c r="H120" s="29" t="inlineStr">
        <is>
          <t>Toggle</t>
        </is>
      </c>
    </row>
    <row r="121" ht="40" customHeight="1">
      <c r="B121" s="12" t="n"/>
      <c r="C121" s="28" t="inlineStr">
        <is>
          <t>What it does</t>
        </is>
      </c>
      <c r="D121" s="30" t="inlineStr">
        <is>
          <t>Checked areas appear</t>
        </is>
      </c>
      <c r="E121" s="30" t="n"/>
      <c r="F121" s="30" t="n"/>
      <c r="G121" s="30" t="n"/>
      <c r="H121" s="30" t="inlineStr">
        <is>
          <t>Marks all four complete</t>
        </is>
      </c>
    </row>
    <row r="122" ht="30" customHeight="1">
      <c r="B122" s="12" t="inlineStr">
        <is>
          <t>Secondary</t>
        </is>
      </c>
      <c r="C122" s="28" t="inlineStr">
        <is>
          <t>Looks like</t>
        </is>
      </c>
      <c r="D122" s="14" t="inlineStr">
        <is>
          <t>Cash types ☐</t>
        </is>
      </c>
      <c r="E122" s="14" t="inlineStr">
        <is>
          <t>Investment types ☐</t>
        </is>
      </c>
      <c r="F122" s="14" t="inlineStr">
        <is>
          <t>Real asset types ☐</t>
        </is>
      </c>
      <c r="G122" s="14" t="inlineStr">
        <is>
          <t>Debt types ☐</t>
        </is>
      </c>
      <c r="H122" s="14" t="inlineStr">
        <is>
          <t>Count per pick</t>
        </is>
      </c>
    </row>
    <row r="123" ht="16" customHeight="1">
      <c r="B123" s="12" t="n"/>
      <c r="C123" s="28" t="inlineStr">
        <is>
          <t>Type</t>
        </is>
      </c>
      <c r="D123" s="29" t="inlineStr">
        <is>
          <t>Picker</t>
        </is>
      </c>
      <c r="E123" s="29" t="inlineStr">
        <is>
          <t>Picker</t>
        </is>
      </c>
      <c r="F123" s="29" t="inlineStr">
        <is>
          <t>Picker</t>
        </is>
      </c>
      <c r="G123" s="29" t="inlineStr">
        <is>
          <t>Picker</t>
        </is>
      </c>
      <c r="H123" s="29" t="inlineStr">
        <is>
          <t>Stepper</t>
        </is>
      </c>
    </row>
    <row r="124" ht="40" customHeight="1">
      <c r="B124" s="12" t="n"/>
      <c r="C124" s="28" t="inlineStr">
        <is>
          <t>What it does</t>
        </is>
      </c>
      <c r="D124" s="30" t="inlineStr">
        <is>
          <t>Multiselect: checking, savings or HYSA, money market, CD, cash on hand. Each pick gets a count</t>
        </is>
      </c>
      <c r="E124" s="30" t="inlineStr">
        <is>
          <t>Multiselect: 401(k), 403(b), 457, TSP, Roth IRA, Traditional IRA, Rollover IRA, HSA, 529, brokerage, crypto, other</t>
        </is>
      </c>
      <c r="F124" s="30" t="inlineStr">
        <is>
          <t>Multiselect: car, home, other property, business, valuables</t>
        </is>
      </c>
      <c r="G124" s="30" t="inlineStr">
        <is>
          <t>Multiselect, same top 4 plus Other as the debt picker</t>
        </is>
      </c>
      <c r="H124" s="30" t="inlineStr">
        <is>
          <t>Creates that many rows</t>
        </is>
      </c>
    </row>
    <row r="126">
      <c r="A126" s="25" t="inlineStr">
        <is>
          <t>Profile › Couples split</t>
        </is>
      </c>
      <c r="B126" s="26" t="n"/>
      <c r="C126" s="26" t="n"/>
      <c r="D126" s="26" t="n"/>
      <c r="E126" s="26" t="n"/>
      <c r="F126" s="26" t="n"/>
      <c r="G126" s="26" t="n"/>
      <c r="H126" s="26" t="n"/>
      <c r="I126" s="26" t="n"/>
      <c r="J126" s="26" t="n"/>
      <c r="K126" s="26" t="n"/>
      <c r="L126" s="26" t="n"/>
      <c r="M126" s="26" t="n"/>
      <c r="N126" s="26" t="n"/>
      <c r="O126" s="26" t="n"/>
    </row>
    <row r="127" ht="30" customHeight="1">
      <c r="B127" s="12" t="inlineStr">
        <is>
          <t>Primary</t>
        </is>
      </c>
      <c r="C127" s="28" t="inlineStr">
        <is>
          <t>Looks like</t>
        </is>
      </c>
      <c r="D127" s="14" t="inlineStr">
        <is>
          <t>Joint | Separate | Mix</t>
        </is>
      </c>
      <c r="E127" s="23" t="inlineStr">
        <is>
          <t>Who pays what</t>
        </is>
      </c>
      <c r="F127" s="13" t="inlineStr">
        <is>
          <t xml:space="preserve">Split % </t>
        </is>
      </c>
    </row>
    <row r="128" ht="16" customHeight="1">
      <c r="B128" s="12" t="n"/>
      <c r="C128" s="28" t="inlineStr">
        <is>
          <t>Type</t>
        </is>
      </c>
      <c r="D128" s="29" t="inlineStr">
        <is>
          <t>Toggle</t>
        </is>
      </c>
      <c r="E128" s="29" t="inlineStr">
        <is>
          <t>Card</t>
        </is>
      </c>
      <c r="F128" s="29" t="inlineStr">
        <is>
          <t>Field</t>
        </is>
      </c>
    </row>
    <row r="129" ht="40" customHeight="1">
      <c r="B129" s="12" t="n"/>
      <c r="C129" s="28" t="inlineStr">
        <is>
          <t>What it does</t>
        </is>
      </c>
      <c r="D129" s="30" t="inlineStr">
        <is>
          <t>How they run money</t>
        </is>
      </c>
      <c r="E129" s="30" t="inlineStr">
        <is>
          <t>Housing, food, bills split by % or fixed</t>
        </is>
      </c>
      <c r="F129" s="30" t="inlineStr">
        <is>
          <t>Default 50/50 or by income</t>
        </is>
      </c>
    </row>
    <row r="130" ht="30" customHeight="1">
      <c r="B130" s="12" t="inlineStr">
        <is>
          <t>Secondary</t>
        </is>
      </c>
      <c r="C130" s="28" t="inlineStr">
        <is>
          <t>Looks like</t>
        </is>
      </c>
      <c r="D130" s="14" t="inlineStr">
        <is>
          <t>Joint account picks</t>
        </is>
      </c>
    </row>
    <row r="131" ht="16" customHeight="1">
      <c r="B131" s="12" t="n"/>
      <c r="C131" s="28" t="inlineStr">
        <is>
          <t>Type</t>
        </is>
      </c>
      <c r="D131" s="29" t="inlineStr">
        <is>
          <t>Picker</t>
        </is>
      </c>
    </row>
    <row r="132" ht="40" customHeight="1">
      <c r="B132" s="12" t="n"/>
      <c r="C132" s="28" t="inlineStr">
        <is>
          <t>What it does</t>
        </is>
      </c>
      <c r="D132" s="30" t="inlineStr">
        <is>
          <t>Which accounts are shared</t>
        </is>
      </c>
    </row>
    <row r="134">
      <c r="A134" s="25" t="inlineStr">
        <is>
          <t>Income › Paycheck row</t>
        </is>
      </c>
      <c r="B134" s="26" t="n"/>
      <c r="C134" s="26" t="n"/>
      <c r="D134" s="26" t="n"/>
      <c r="E134" s="26" t="n"/>
      <c r="F134" s="26" t="n"/>
      <c r="G134" s="26" t="n"/>
      <c r="H134" s="26" t="n"/>
      <c r="I134" s="26" t="n"/>
      <c r="J134" s="26" t="n"/>
      <c r="K134" s="26" t="n"/>
      <c r="L134" s="26" t="n"/>
      <c r="M134" s="26" t="n"/>
      <c r="N134" s="26" t="n"/>
      <c r="O134" s="27" t="inlineStr">
        <is>
          <t>Your comment: HSA and FSA hidden unless health coverage confirms it</t>
        </is>
      </c>
    </row>
    <row r="135" ht="30" customHeight="1">
      <c r="B135" s="12" t="inlineStr">
        <is>
          <t>Primary</t>
        </is>
      </c>
      <c r="C135" s="28" t="inlineStr">
        <is>
          <t>Looks like</t>
        </is>
      </c>
      <c r="D135" s="13" t="inlineStr">
        <is>
          <t>Source name</t>
        </is>
      </c>
      <c r="E135" s="13" t="inlineStr">
        <is>
          <t>[ $ Amount ]</t>
        </is>
      </c>
      <c r="F135" s="14" t="inlineStr">
        <is>
          <t>per Paycheck | Month | Year</t>
        </is>
      </c>
      <c r="G135" s="14" t="inlineStr">
        <is>
          <t>Take-home | Gross</t>
        </is>
      </c>
      <c r="H135" s="14" t="inlineStr">
        <is>
          <t>Pay frequency ▾</t>
        </is>
      </c>
      <c r="I135" s="14" t="inlineStr">
        <is>
          <t>Owner ▾</t>
        </is>
      </c>
      <c r="J135" s="16" t="inlineStr">
        <is>
          <t>⧉</t>
        </is>
      </c>
      <c r="K135" s="16" t="inlineStr">
        <is>
          <t>↺</t>
        </is>
      </c>
      <c r="L135" s="16" t="inlineStr">
        <is>
          <t>🗑</t>
        </is>
      </c>
      <c r="M135" s="18" t="inlineStr">
        <is>
          <t>Status</t>
        </is>
      </c>
      <c r="N135" s="17" t="inlineStr">
        <is>
          <t>More ▸</t>
        </is>
      </c>
    </row>
    <row r="136" ht="16" customHeight="1">
      <c r="B136" s="12" t="n"/>
      <c r="C136" s="28" t="inlineStr">
        <is>
          <t>Type</t>
        </is>
      </c>
      <c r="D136" s="29" t="inlineStr">
        <is>
          <t>Field</t>
        </is>
      </c>
      <c r="E136" s="29" t="inlineStr">
        <is>
          <t>Field</t>
        </is>
      </c>
      <c r="F136" s="29" t="inlineStr">
        <is>
          <t>Toggle</t>
        </is>
      </c>
      <c r="G136" s="29" t="inlineStr">
        <is>
          <t>Toggle</t>
        </is>
      </c>
      <c r="H136" s="29" t="inlineStr">
        <is>
          <t>Dropdown</t>
        </is>
      </c>
      <c r="I136" s="29" t="inlineStr">
        <is>
          <t>Dropdown</t>
        </is>
      </c>
      <c r="J136" s="29" t="inlineStr">
        <is>
          <t>Icon button</t>
        </is>
      </c>
      <c r="K136" s="29" t="inlineStr">
        <is>
          <t>Icon button</t>
        </is>
      </c>
      <c r="L136" s="29" t="inlineStr">
        <is>
          <t>Icon button</t>
        </is>
      </c>
      <c r="M136" s="29" t="inlineStr">
        <is>
          <t>Status tag</t>
        </is>
      </c>
      <c r="N136" s="29" t="inlineStr">
        <is>
          <t>Caret</t>
        </is>
      </c>
    </row>
    <row r="137" ht="40" customHeight="1">
      <c r="B137" s="12" t="n"/>
      <c r="C137" s="28" t="inlineStr">
        <is>
          <t>What it does</t>
        </is>
      </c>
      <c r="D137" s="30" t="inlineStr">
        <is>
          <t>Employer or side hustle</t>
        </is>
      </c>
      <c r="E137" s="30" t="inlineStr">
        <is>
          <t>Any amount</t>
        </is>
      </c>
      <c r="F137" s="30" t="inlineStr">
        <is>
          <t>How the number was given</t>
        </is>
      </c>
      <c r="G137" s="30" t="inlineStr">
        <is>
          <t>App solves the other and marks it Computed</t>
        </is>
      </c>
      <c r="H137" s="30" t="inlineStr">
        <is>
          <t>Weekly, every 2 weeks, twice a month, monthly</t>
        </is>
      </c>
      <c r="I137" s="30" t="inlineStr">
        <is>
          <t>Couples only</t>
        </is>
      </c>
      <c r="J137" s="30" t="inlineStr">
        <is>
          <t>Duplicate: copies this row, opens it for editing. Small icon, tooltip on hover</t>
        </is>
      </c>
      <c r="K137" s="30" t="inlineStr">
        <is>
          <t>Reset: clears this row back to blank, keeps the row. Small icon</t>
        </is>
      </c>
      <c r="L137" s="30" t="inlineStr">
        <is>
          <t>Delete: removes the row with an 'Undo' toast for 10 seconds. Small trash can</t>
        </is>
      </c>
      <c r="M137" s="30" t="inlineStr">
        <is>
          <t>Confidence for the whole row; each field can override</t>
        </is>
      </c>
      <c r="N137" s="30" t="inlineStr">
        <is>
          <t>Shows Secondary fields. Collapsed by default. Paid with sits at the top of it</t>
        </is>
      </c>
    </row>
    <row r="138" ht="30" customHeight="1">
      <c r="B138" s="12" t="inlineStr">
        <is>
          <t>Secondary</t>
        </is>
      </c>
      <c r="C138" s="28" t="inlineStr">
        <is>
          <t>Looks like</t>
        </is>
      </c>
      <c r="D138" s="19" t="inlineStr">
        <is>
          <t>Gross (computed)</t>
        </is>
      </c>
      <c r="E138" s="14" t="inlineStr">
        <is>
          <t>Type ▾</t>
        </is>
      </c>
      <c r="F138" s="13" t="inlineStr">
        <is>
          <t>401(k) %</t>
        </is>
      </c>
      <c r="G138" s="13" t="inlineStr">
        <is>
          <t>Employer match % up to %</t>
        </is>
      </c>
      <c r="H138" s="13" t="inlineStr">
        <is>
          <t>Bonus $ and month</t>
        </is>
      </c>
      <c r="I138" s="13" t="inlineStr">
        <is>
          <t>Health premium / paycheck</t>
        </is>
      </c>
      <c r="J138" s="15" t="inlineStr">
        <is>
          <t>+ Other benefit</t>
        </is>
      </c>
      <c r="K138" s="17" t="inlineStr">
        <is>
          <t>More ▸</t>
        </is>
      </c>
    </row>
    <row r="139" ht="16" customHeight="1">
      <c r="B139" s="12" t="n"/>
      <c r="C139" s="28" t="inlineStr">
        <is>
          <t>Type</t>
        </is>
      </c>
      <c r="D139" s="29" t="inlineStr">
        <is>
          <t>Computed</t>
        </is>
      </c>
      <c r="E139" s="29" t="inlineStr">
        <is>
          <t>Dropdown</t>
        </is>
      </c>
      <c r="F139" s="29" t="inlineStr">
        <is>
          <t>Field</t>
        </is>
      </c>
      <c r="G139" s="29" t="inlineStr">
        <is>
          <t>Field</t>
        </is>
      </c>
      <c r="H139" s="29" t="inlineStr">
        <is>
          <t>Field</t>
        </is>
      </c>
      <c r="I139" s="29" t="inlineStr">
        <is>
          <t>Field</t>
        </is>
      </c>
      <c r="J139" s="29" t="inlineStr">
        <is>
          <t>Button</t>
        </is>
      </c>
      <c r="K139" s="29" t="inlineStr">
        <is>
          <t>Caret</t>
        </is>
      </c>
    </row>
    <row r="140" ht="40" customHeight="1">
      <c r="B140" s="12" t="n"/>
      <c r="C140" s="28" t="inlineStr">
        <is>
          <t>What it does</t>
        </is>
      </c>
      <c r="D140" s="30" t="inlineStr">
        <is>
          <t>Shown if take-home was entered</t>
        </is>
      </c>
      <c r="E140" s="30" t="inlineStr">
        <is>
          <t>W-2, 1099, business, rental, benefits</t>
        </is>
      </c>
      <c r="F140" s="30" t="n"/>
      <c r="G140" s="30" t="inlineStr">
        <is>
          <t>Two boxes</t>
        </is>
      </c>
      <c r="H140" s="30" t="n"/>
      <c r="I140" s="30" t="n"/>
      <c r="J140" s="30" t="inlineStr">
        <is>
          <t>Opens the benefit row below</t>
        </is>
      </c>
      <c r="K140" s="30" t="inlineStr">
        <is>
          <t>Shows Tertiary fields. Collapsed by default. Paid with sits at the top of it</t>
        </is>
      </c>
    </row>
    <row r="141" ht="30" customHeight="1">
      <c r="B141" s="12" t="inlineStr">
        <is>
          <t>Tertiary</t>
        </is>
      </c>
      <c r="C141" s="28" t="inlineStr">
        <is>
          <t>Looks like</t>
        </is>
      </c>
      <c r="D141" s="14" t="inlineStr">
        <is>
          <t>Vesting ▾</t>
        </is>
      </c>
      <c r="E141" s="19" t="inlineStr">
        <is>
          <t>Unvested match</t>
        </is>
      </c>
      <c r="F141" s="13" t="inlineStr">
        <is>
          <t>HSA / FSA per paycheck</t>
        </is>
      </c>
      <c r="G141" s="13" t="inlineStr">
        <is>
          <t>ESPP % and discount</t>
        </is>
      </c>
      <c r="H141" s="13" t="inlineStr">
        <is>
          <t>RSU / stock grants</t>
        </is>
      </c>
      <c r="I141" s="13" t="inlineStr">
        <is>
          <t>Pension</t>
        </is>
      </c>
      <c r="J141" s="13" t="inlineStr">
        <is>
          <t>Raise % per year</t>
        </is>
      </c>
      <c r="K141" s="13" t="inlineStr">
        <is>
          <t>Other pretax deductions</t>
        </is>
      </c>
    </row>
    <row r="142" ht="16" customHeight="1">
      <c r="B142" s="12" t="n"/>
      <c r="C142" s="28" t="inlineStr">
        <is>
          <t>Type</t>
        </is>
      </c>
      <c r="D142" s="29" t="inlineStr">
        <is>
          <t>Dropdown</t>
        </is>
      </c>
      <c r="E142" s="29" t="inlineStr">
        <is>
          <t>Computed</t>
        </is>
      </c>
      <c r="F142" s="29" t="inlineStr">
        <is>
          <t>Field</t>
        </is>
      </c>
      <c r="G142" s="29" t="inlineStr">
        <is>
          <t>Field</t>
        </is>
      </c>
      <c r="H142" s="29" t="inlineStr">
        <is>
          <t>Field</t>
        </is>
      </c>
      <c r="I142" s="29" t="inlineStr">
        <is>
          <t>Field</t>
        </is>
      </c>
      <c r="J142" s="29" t="inlineStr">
        <is>
          <t>Field</t>
        </is>
      </c>
      <c r="K142" s="29" t="inlineStr">
        <is>
          <t>Field</t>
        </is>
      </c>
    </row>
    <row r="143" ht="40" customHeight="1">
      <c r="B143" s="12" t="n"/>
      <c r="C143" s="28" t="inlineStr">
        <is>
          <t>What it does</t>
        </is>
      </c>
      <c r="D143" s="30" t="inlineStr">
        <is>
          <t>Immediate, cliff, graded</t>
        </is>
      </c>
      <c r="E143" s="30" t="inlineStr">
        <is>
          <t>Shown separately</t>
        </is>
      </c>
      <c r="F143" s="30" t="inlineStr">
        <is>
          <t>Only shows if Profile &gt; Health coverage confirms an HSA-eligible plan or FSA</t>
        </is>
      </c>
      <c r="G143" s="30" t="inlineStr">
        <is>
          <t>Only if offered</t>
        </is>
      </c>
      <c r="H143" s="30" t="inlineStr">
        <is>
          <t>Value and vesting dates</t>
        </is>
      </c>
      <c r="I143" s="30" t="inlineStr">
        <is>
          <t>Monthly amount at start age</t>
        </is>
      </c>
      <c r="J143" s="30" t="inlineStr">
        <is>
          <t>Default from coach</t>
        </is>
      </c>
      <c r="K143" s="30" t="n"/>
    </row>
    <row r="145">
      <c r="A145" s="25" t="inlineStr">
        <is>
          <t>Income › Other benefit row</t>
        </is>
      </c>
      <c r="B145" s="26" t="n"/>
      <c r="C145" s="26" t="n"/>
      <c r="D145" s="26" t="n"/>
      <c r="E145" s="26" t="n"/>
      <c r="F145" s="26" t="n"/>
      <c r="G145" s="26" t="n"/>
      <c r="H145" s="26" t="n"/>
      <c r="I145" s="26" t="n"/>
      <c r="J145" s="26" t="n"/>
      <c r="K145" s="26" t="n"/>
      <c r="L145" s="26" t="n"/>
      <c r="M145" s="26" t="n"/>
      <c r="N145" s="26" t="n"/>
      <c r="O145" s="27" t="inlineStr">
        <is>
          <t>Your comment: other benefits with a name, what it is, how it works, the amounts, and nontraditional examples</t>
        </is>
      </c>
    </row>
    <row r="146" ht="30" customHeight="1">
      <c r="B146" s="12" t="inlineStr">
        <is>
          <t>Primary</t>
        </is>
      </c>
      <c r="C146" s="28" t="inlineStr">
        <is>
          <t>Looks like</t>
        </is>
      </c>
      <c r="D146" s="13" t="inlineStr">
        <is>
          <t>Benefit name</t>
        </is>
      </c>
      <c r="E146" s="13" t="inlineStr">
        <is>
          <t>What it is</t>
        </is>
      </c>
      <c r="F146" s="13" t="inlineStr">
        <is>
          <t>How it works</t>
        </is>
      </c>
      <c r="G146" s="13" t="inlineStr">
        <is>
          <t>[ $ Value ]</t>
        </is>
      </c>
      <c r="H146" s="14" t="inlineStr">
        <is>
          <t>per Month | Year</t>
        </is>
      </c>
      <c r="I146" s="14" t="inlineStr">
        <is>
          <t>Using it? Yes | No | Partly</t>
        </is>
      </c>
      <c r="J146" s="16" t="inlineStr">
        <is>
          <t>⧉</t>
        </is>
      </c>
      <c r="K146" s="16" t="inlineStr">
        <is>
          <t>↺</t>
        </is>
      </c>
      <c r="L146" s="16" t="inlineStr">
        <is>
          <t>🗑</t>
        </is>
      </c>
      <c r="M146" s="18" t="inlineStr">
        <is>
          <t>Status</t>
        </is>
      </c>
    </row>
    <row r="147" ht="16" customHeight="1">
      <c r="B147" s="12" t="n"/>
      <c r="C147" s="28" t="inlineStr">
        <is>
          <t>Type</t>
        </is>
      </c>
      <c r="D147" s="29" t="inlineStr">
        <is>
          <t>Field</t>
        </is>
      </c>
      <c r="E147" s="29" t="inlineStr">
        <is>
          <t>Field</t>
        </is>
      </c>
      <c r="F147" s="29" t="inlineStr">
        <is>
          <t>Field</t>
        </is>
      </c>
      <c r="G147" s="29" t="inlineStr">
        <is>
          <t>Field</t>
        </is>
      </c>
      <c r="H147" s="29" t="inlineStr">
        <is>
          <t>Toggle</t>
        </is>
      </c>
      <c r="I147" s="29" t="inlineStr">
        <is>
          <t>Toggle</t>
        </is>
      </c>
      <c r="J147" s="29" t="inlineStr">
        <is>
          <t>Icon button</t>
        </is>
      </c>
      <c r="K147" s="29" t="inlineStr">
        <is>
          <t>Icon button</t>
        </is>
      </c>
      <c r="L147" s="29" t="inlineStr">
        <is>
          <t>Icon button</t>
        </is>
      </c>
      <c r="M147" s="29" t="inlineStr">
        <is>
          <t>Status tag</t>
        </is>
      </c>
    </row>
    <row r="148" ht="40" customHeight="1">
      <c r="B148" s="12" t="n"/>
      <c r="C148" s="28" t="inlineStr">
        <is>
          <t>What it does</t>
        </is>
      </c>
      <c r="D148" s="30" t="inlineStr">
        <is>
          <t>Name it yourself</t>
        </is>
      </c>
      <c r="E148" s="30" t="inlineStr">
        <is>
          <t>One line</t>
        </is>
      </c>
      <c r="F148" s="30" t="inlineStr">
        <is>
          <t>Reimbursed, stipend, pretax, match, discount</t>
        </is>
      </c>
      <c r="G148" s="30" t="inlineStr">
        <is>
          <t>Amount</t>
        </is>
      </c>
      <c r="H148" s="30" t="n"/>
      <c r="I148" s="30" t="inlineStr">
        <is>
          <t>Unused benefit = small win</t>
        </is>
      </c>
      <c r="J148" s="30" t="inlineStr">
        <is>
          <t>Duplicate: copies this row, opens it for editing. Small icon, tooltip on hover</t>
        </is>
      </c>
      <c r="K148" s="30" t="inlineStr">
        <is>
          <t>Reset: clears this row back to blank, keeps the row. Small icon</t>
        </is>
      </c>
      <c r="L148" s="30" t="inlineStr">
        <is>
          <t>Delete: removes the row with an 'Undo' toast for 10 seconds. Small trash can</t>
        </is>
      </c>
      <c r="M148" s="30" t="inlineStr">
        <is>
          <t>Confidence for the whole row; each field can override</t>
        </is>
      </c>
    </row>
    <row r="149" ht="30" customHeight="1">
      <c r="B149" s="12" t="inlineStr">
        <is>
          <t>Secondary</t>
        </is>
      </c>
      <c r="C149" s="28" t="inlineStr">
        <is>
          <t>Looks like</t>
        </is>
      </c>
      <c r="D149" s="14" t="inlineStr">
        <is>
          <t>Examples to pick from ▾</t>
        </is>
      </c>
    </row>
    <row r="150" ht="16" customHeight="1">
      <c r="B150" s="12" t="n"/>
      <c r="C150" s="28" t="inlineStr">
        <is>
          <t>Type</t>
        </is>
      </c>
      <c r="D150" s="29" t="inlineStr">
        <is>
          <t>Picker</t>
        </is>
      </c>
    </row>
    <row r="151" ht="40" customHeight="1">
      <c r="B151" s="12" t="n"/>
      <c r="C151" s="28" t="inlineStr">
        <is>
          <t>What it does</t>
        </is>
      </c>
      <c r="D151" s="30" t="inlineStr">
        <is>
          <t>Commuter pretax, tuition reimbursement, student loan repayment help, wellness or gym stipend, phone or internet stipend, childcare FSA, free meals, home office stipend, ESPP discount, paid sabbatical, legal plan, pet insurance</t>
        </is>
      </c>
    </row>
    <row r="153">
      <c r="A153" s="25" t="inlineStr">
        <is>
          <t>Income › Variable income</t>
        </is>
      </c>
      <c r="B153" s="26" t="n"/>
      <c r="C153" s="26" t="n"/>
      <c r="D153" s="26" t="n"/>
      <c r="E153" s="26" t="n"/>
      <c r="F153" s="26" t="n"/>
      <c r="G153" s="26" t="n"/>
      <c r="H153" s="26" t="n"/>
      <c r="I153" s="26" t="n"/>
      <c r="J153" s="26" t="n"/>
      <c r="K153" s="26" t="n"/>
      <c r="L153" s="26" t="n"/>
      <c r="M153" s="26" t="n"/>
      <c r="N153" s="26" t="n"/>
      <c r="O153" s="26" t="n"/>
    </row>
    <row r="154" ht="30" customHeight="1">
      <c r="B154" s="12" t="inlineStr">
        <is>
          <t>Primary</t>
        </is>
      </c>
      <c r="C154" s="28" t="inlineStr">
        <is>
          <t>Looks like</t>
        </is>
      </c>
      <c r="D154" s="13" t="inlineStr">
        <is>
          <t>Last 12 months total</t>
        </is>
      </c>
      <c r="E154" s="13" t="inlineStr">
        <is>
          <t>Typical month</t>
        </is>
      </c>
      <c r="F154" s="13" t="inlineStr">
        <is>
          <t>Lowest month</t>
        </is>
      </c>
      <c r="G154" s="13" t="inlineStr">
        <is>
          <t>Set aside for taxes %</t>
        </is>
      </c>
    </row>
    <row r="155" ht="16" customHeight="1">
      <c r="B155" s="12" t="n"/>
      <c r="C155" s="28" t="inlineStr">
        <is>
          <t>Type</t>
        </is>
      </c>
      <c r="D155" s="29" t="inlineStr">
        <is>
          <t>Field</t>
        </is>
      </c>
      <c r="E155" s="29" t="inlineStr">
        <is>
          <t>Field</t>
        </is>
      </c>
      <c r="F155" s="29" t="inlineStr">
        <is>
          <t>Field</t>
        </is>
      </c>
      <c r="G155" s="29" t="inlineStr">
        <is>
          <t>Field</t>
        </is>
      </c>
    </row>
    <row r="156" ht="40" customHeight="1">
      <c r="B156" s="12" t="n"/>
      <c r="C156" s="28" t="inlineStr">
        <is>
          <t>What it does</t>
        </is>
      </c>
      <c r="D156" s="30" t="inlineStr">
        <is>
          <t>Self-employed, tips, creators, dommes</t>
        </is>
      </c>
      <c r="E156" s="30" t="n"/>
      <c r="F156" s="30" t="inlineStr">
        <is>
          <t>Drives the safe budget</t>
        </is>
      </c>
      <c r="G156" s="30" t="inlineStr">
        <is>
          <t>Default 25-30%</t>
        </is>
      </c>
    </row>
    <row r="157" ht="30" customHeight="1">
      <c r="B157" s="12" t="inlineStr">
        <is>
          <t>Secondary</t>
        </is>
      </c>
      <c r="C157" s="28" t="inlineStr">
        <is>
          <t>Looks like</t>
        </is>
      </c>
      <c r="D157" s="13" t="inlineStr">
        <is>
          <t>Month by month</t>
        </is>
      </c>
      <c r="E157" s="13" t="inlineStr">
        <is>
          <t>Business expenses / mo</t>
        </is>
      </c>
    </row>
    <row r="158" ht="16" customHeight="1">
      <c r="B158" s="12" t="n"/>
      <c r="C158" s="28" t="inlineStr">
        <is>
          <t>Type</t>
        </is>
      </c>
      <c r="D158" s="29" t="inlineStr">
        <is>
          <t>Field</t>
        </is>
      </c>
      <c r="E158" s="29" t="inlineStr">
        <is>
          <t>Field</t>
        </is>
      </c>
    </row>
    <row r="159" ht="40" customHeight="1">
      <c r="B159" s="12" t="n"/>
      <c r="C159" s="28" t="inlineStr">
        <is>
          <t>What it does</t>
        </is>
      </c>
      <c r="D159" s="30" t="inlineStr">
        <is>
          <t>12 boxes, builds the chart</t>
        </is>
      </c>
      <c r="E159" s="30" t="inlineStr">
        <is>
          <t>Keeps business and personal apart</t>
        </is>
      </c>
    </row>
    <row r="161">
      <c r="A161" s="25" t="inlineStr">
        <is>
          <t>Income › Section footer</t>
        </is>
      </c>
      <c r="B161" s="26" t="n"/>
      <c r="C161" s="26" t="n"/>
      <c r="D161" s="26" t="n"/>
      <c r="E161" s="26" t="n"/>
      <c r="F161" s="26" t="n"/>
      <c r="G161" s="26" t="n"/>
      <c r="H161" s="26" t="n"/>
      <c r="I161" s="26" t="n"/>
      <c r="J161" s="26" t="n"/>
      <c r="K161" s="26" t="n"/>
      <c r="L161" s="26" t="n"/>
      <c r="M161" s="26" t="n"/>
      <c r="N161" s="26" t="n"/>
      <c r="O161" s="26" t="n"/>
    </row>
    <row r="162" ht="30" customHeight="1">
      <c r="B162" s="12" t="inlineStr">
        <is>
          <t>Primary</t>
        </is>
      </c>
      <c r="C162" s="28" t="inlineStr">
        <is>
          <t>Looks like</t>
        </is>
      </c>
      <c r="D162" s="15" t="inlineStr">
        <is>
          <t>+ Add income</t>
        </is>
      </c>
      <c r="E162" s="19" t="inlineStr">
        <is>
          <t>Monthly take-home total</t>
        </is>
      </c>
    </row>
    <row r="163" ht="16" customHeight="1">
      <c r="B163" s="12" t="n"/>
      <c r="C163" s="28" t="inlineStr">
        <is>
          <t>Type</t>
        </is>
      </c>
      <c r="D163" s="29" t="inlineStr">
        <is>
          <t>Button</t>
        </is>
      </c>
      <c r="E163" s="29" t="inlineStr">
        <is>
          <t>Computed</t>
        </is>
      </c>
    </row>
    <row r="164" ht="40" customHeight="1">
      <c r="B164" s="12" t="n"/>
      <c r="C164" s="28" t="inlineStr">
        <is>
          <t>What it does</t>
        </is>
      </c>
      <c r="D164" s="30" t="inlineStr">
        <is>
          <t>Opens picker: job, side hustle, partner job, benefits, rental, money from family, Other (free-form)</t>
        </is>
      </c>
      <c r="E164" s="30" t="inlineStr">
        <is>
          <t>Sum of all income rows</t>
        </is>
      </c>
    </row>
    <row r="166">
      <c r="A166" s="25" t="inlineStr">
        <is>
          <t>Debt › Section header</t>
        </is>
      </c>
      <c r="B166" s="26" t="n"/>
      <c r="C166" s="26" t="n"/>
      <c r="D166" s="26" t="n"/>
      <c r="E166" s="26" t="n"/>
      <c r="F166" s="26" t="n"/>
      <c r="G166" s="26" t="n"/>
      <c r="H166" s="26" t="n"/>
      <c r="I166" s="26" t="n"/>
      <c r="J166" s="26" t="n"/>
      <c r="K166" s="26" t="n"/>
      <c r="L166" s="26" t="n"/>
      <c r="M166" s="26" t="n"/>
      <c r="N166" s="26" t="n"/>
      <c r="O166" s="26" t="n"/>
    </row>
    <row r="167" ht="30" customHeight="1">
      <c r="B167" s="12" t="inlineStr">
        <is>
          <t>Primary</t>
        </is>
      </c>
      <c r="C167" s="28" t="inlineStr">
        <is>
          <t>Looks like</t>
        </is>
      </c>
      <c r="D167" s="15" t="inlineStr">
        <is>
          <t>+ Add debt</t>
        </is>
      </c>
      <c r="E167" s="19" t="inlineStr">
        <is>
          <t>Total debt</t>
        </is>
      </c>
      <c r="F167" s="14" t="inlineStr">
        <is>
          <t>Order: Avalanche | Snowball | Stress</t>
        </is>
      </c>
    </row>
    <row r="168" ht="16" customHeight="1">
      <c r="B168" s="12" t="n"/>
      <c r="C168" s="28" t="inlineStr">
        <is>
          <t>Type</t>
        </is>
      </c>
      <c r="D168" s="29" t="inlineStr">
        <is>
          <t>Button</t>
        </is>
      </c>
      <c r="E168" s="29" t="inlineStr">
        <is>
          <t>Computed</t>
        </is>
      </c>
      <c r="F168" s="29" t="inlineStr">
        <is>
          <t>Toggle</t>
        </is>
      </c>
    </row>
    <row r="169" ht="40" customHeight="1">
      <c r="B169" s="12" t="n"/>
      <c r="C169" s="28" t="inlineStr">
        <is>
          <t>What it does</t>
        </is>
      </c>
      <c r="D169" s="30" t="inlineStr">
        <is>
          <t>Opens grouped picker with search and counts</t>
        </is>
      </c>
      <c r="E169" s="30" t="inlineStr">
        <is>
          <t>All debts including car and home loans</t>
        </is>
      </c>
      <c r="F169" s="30" t="inlineStr">
        <is>
          <t>Sorts rows and drives payoff simulation</t>
        </is>
      </c>
    </row>
    <row r="170" ht="30" customHeight="1">
      <c r="B170" s="12" t="inlineStr">
        <is>
          <t>Secondary</t>
        </is>
      </c>
      <c r="C170" s="28" t="inlineStr">
        <is>
          <t>Looks like</t>
        </is>
      </c>
      <c r="D170" s="13" t="inlineStr">
        <is>
          <t>Credit score</t>
        </is>
      </c>
      <c r="E170" s="16" t="inlineStr">
        <is>
          <t>Reset section</t>
        </is>
      </c>
      <c r="F170" s="16" t="inlineStr">
        <is>
          <t>Collapse all</t>
        </is>
      </c>
    </row>
    <row r="171" ht="16" customHeight="1">
      <c r="B171" s="12" t="n"/>
      <c r="C171" s="28" t="inlineStr">
        <is>
          <t>Type</t>
        </is>
      </c>
      <c r="D171" s="29" t="inlineStr">
        <is>
          <t>Field</t>
        </is>
      </c>
      <c r="E171" s="29" t="inlineStr">
        <is>
          <t>Icon button</t>
        </is>
      </c>
      <c r="F171" s="29" t="inlineStr">
        <is>
          <t>Icon button</t>
        </is>
      </c>
    </row>
    <row r="172" ht="40" customHeight="1">
      <c r="B172" s="12" t="n"/>
      <c r="C172" s="28" t="inlineStr">
        <is>
          <t>What it does</t>
        </is>
      </c>
      <c r="D172" s="30" t="inlineStr">
        <is>
          <t>Number, as-of date and source</t>
        </is>
      </c>
      <c r="E172" s="30" t="inlineStr">
        <is>
          <t>Clears every debt row after a confirm</t>
        </is>
      </c>
      <c r="F172" s="30" t="inlineStr">
        <is>
          <t>Closes every caret</t>
        </is>
      </c>
    </row>
    <row r="174">
      <c r="A174" s="25" t="inlineStr">
        <is>
          <t>Debt › Add debt picker</t>
        </is>
      </c>
      <c r="B174" s="26" t="n"/>
      <c r="C174" s="26" t="n"/>
      <c r="D174" s="26" t="n"/>
      <c r="E174" s="26" t="n"/>
      <c r="F174" s="26" t="n"/>
      <c r="G174" s="26" t="n"/>
      <c r="H174" s="26" t="n"/>
      <c r="I174" s="26" t="n"/>
      <c r="J174" s="26" t="n"/>
      <c r="K174" s="26" t="n"/>
      <c r="L174" s="26" t="n"/>
      <c r="M174" s="26" t="n"/>
      <c r="N174" s="26" t="n"/>
      <c r="O174" s="27" t="inlineStr">
        <is>
          <t>Your comment: top 4, then Other shows the rest</t>
        </is>
      </c>
    </row>
    <row r="175" ht="30" customHeight="1">
      <c r="B175" s="12" t="inlineStr">
        <is>
          <t>Primary</t>
        </is>
      </c>
      <c r="C175" s="28" t="inlineStr">
        <is>
          <t>Looks like</t>
        </is>
      </c>
      <c r="D175" s="15" t="inlineStr">
        <is>
          <t>Credit card</t>
        </is>
      </c>
      <c r="E175" s="15" t="inlineStr">
        <is>
          <t>Student loan</t>
        </is>
      </c>
      <c r="F175" s="15" t="inlineStr">
        <is>
          <t>Car loan</t>
        </is>
      </c>
      <c r="G175" s="15" t="inlineStr">
        <is>
          <t>Personal loan</t>
        </is>
      </c>
      <c r="H175" s="15" t="inlineStr">
        <is>
          <t>Other ▾</t>
        </is>
      </c>
    </row>
    <row r="176" ht="16" customHeight="1">
      <c r="B176" s="12" t="n"/>
      <c r="C176" s="28" t="inlineStr">
        <is>
          <t>Type</t>
        </is>
      </c>
      <c r="D176" s="29" t="inlineStr">
        <is>
          <t>Button</t>
        </is>
      </c>
      <c r="E176" s="29" t="inlineStr">
        <is>
          <t>Button</t>
        </is>
      </c>
      <c r="F176" s="29" t="inlineStr">
        <is>
          <t>Button</t>
        </is>
      </c>
      <c r="G176" s="29" t="inlineStr">
        <is>
          <t>Button</t>
        </is>
      </c>
      <c r="H176" s="29" t="inlineStr">
        <is>
          <t>Button</t>
        </is>
      </c>
    </row>
    <row r="177" ht="40" customHeight="1">
      <c r="B177" s="12" t="n"/>
      <c r="C177" s="28" t="inlineStr">
        <is>
          <t>What it does</t>
        </is>
      </c>
      <c r="D177" s="30" t="inlineStr">
        <is>
          <t>Adds a row</t>
        </is>
      </c>
      <c r="E177" s="30" t="n"/>
      <c r="F177" s="30" t="n"/>
      <c r="G177" s="30" t="n"/>
      <c r="H177" s="30" t="inlineStr">
        <is>
          <t>Opens the rest with a search box</t>
        </is>
      </c>
    </row>
    <row r="178" ht="30" customHeight="1">
      <c r="B178" s="12" t="inlineStr">
        <is>
          <t>Secondary</t>
        </is>
      </c>
      <c r="C178" s="28" t="inlineStr">
        <is>
          <t>Looks like</t>
        </is>
      </c>
      <c r="D178" s="13" t="inlineStr">
        <is>
          <t>Search debts…</t>
        </is>
      </c>
      <c r="E178" s="15" t="inlineStr">
        <is>
          <t>Medical</t>
        </is>
      </c>
      <c r="F178" s="15" t="inlineStr">
        <is>
          <t>Family or friend</t>
        </is>
      </c>
      <c r="G178" s="15" t="inlineStr">
        <is>
          <t>Buy now, pay later</t>
        </is>
      </c>
      <c r="H178" s="15" t="inlineStr">
        <is>
          <t>Payday / cash advance</t>
        </is>
      </c>
      <c r="I178" s="15" t="inlineStr">
        <is>
          <t>Tax debt</t>
        </is>
      </c>
      <c r="J178" s="15" t="inlineStr">
        <is>
          <t>401(k) loan</t>
        </is>
      </c>
      <c r="K178" s="15" t="inlineStr">
        <is>
          <t>Business</t>
        </is>
      </c>
      <c r="L178" s="15" t="inlineStr">
        <is>
          <t>Name your own</t>
        </is>
      </c>
    </row>
    <row r="179" ht="16" customHeight="1">
      <c r="B179" s="12" t="n"/>
      <c r="C179" s="28" t="inlineStr">
        <is>
          <t>Type</t>
        </is>
      </c>
      <c r="D179" s="29" t="inlineStr">
        <is>
          <t>Field</t>
        </is>
      </c>
      <c r="E179" s="29" t="inlineStr">
        <is>
          <t>Button</t>
        </is>
      </c>
      <c r="F179" s="29" t="inlineStr">
        <is>
          <t>Button</t>
        </is>
      </c>
      <c r="G179" s="29" t="inlineStr">
        <is>
          <t>Button</t>
        </is>
      </c>
      <c r="H179" s="29" t="inlineStr">
        <is>
          <t>Button</t>
        </is>
      </c>
      <c r="I179" s="29" t="inlineStr">
        <is>
          <t>Button</t>
        </is>
      </c>
      <c r="J179" s="29" t="inlineStr">
        <is>
          <t>Button</t>
        </is>
      </c>
      <c r="K179" s="29" t="inlineStr">
        <is>
          <t>Button</t>
        </is>
      </c>
      <c r="L179" s="29" t="inlineStr">
        <is>
          <t>Button</t>
        </is>
      </c>
    </row>
    <row r="180" ht="40" customHeight="1">
      <c r="B180" s="12" t="n"/>
      <c r="C180" s="28" t="inlineStr">
        <is>
          <t>What it does</t>
        </is>
      </c>
      <c r="D180" s="30" t="inlineStr">
        <is>
          <t>Type to filter</t>
        </is>
      </c>
      <c r="E180" s="30" t="n"/>
      <c r="F180" s="30" t="n"/>
      <c r="G180" s="30" t="n"/>
      <c r="H180" s="30" t="n"/>
      <c r="I180" s="30" t="n"/>
      <c r="J180" s="30" t="n"/>
      <c r="K180" s="30" t="n"/>
      <c r="L180" s="30" t="inlineStr">
        <is>
          <t>Free-form row</t>
        </is>
      </c>
    </row>
    <row r="182">
      <c r="A182" s="25" t="inlineStr">
        <is>
          <t>Debt › Credit card</t>
        </is>
      </c>
      <c r="B182" s="26" t="n"/>
      <c r="C182" s="26" t="n"/>
      <c r="D182" s="26" t="n"/>
      <c r="E182" s="26" t="n"/>
      <c r="F182" s="26" t="n"/>
      <c r="G182" s="26" t="n"/>
      <c r="H182" s="26" t="n"/>
      <c r="I182" s="26" t="n"/>
      <c r="J182" s="26" t="n"/>
      <c r="K182" s="26" t="n"/>
      <c r="L182" s="26" t="n"/>
      <c r="M182" s="26" t="n"/>
      <c r="N182" s="26" t="n"/>
      <c r="O182" s="27" t="inlineStr">
        <is>
          <t>Your comment: minimum payment computed in Primary, payment options and Pay in full below</t>
        </is>
      </c>
    </row>
    <row r="183" ht="30" customHeight="1">
      <c r="B183" s="12" t="inlineStr">
        <is>
          <t>Primary</t>
        </is>
      </c>
      <c r="C183" s="28" t="inlineStr">
        <is>
          <t>Looks like</t>
        </is>
      </c>
      <c r="D183" s="14" t="inlineStr">
        <is>
          <t>Card name ▾</t>
        </is>
      </c>
      <c r="E183" s="13" t="inlineStr">
        <is>
          <t>[ $ Balance ]</t>
        </is>
      </c>
      <c r="F183" s="13" t="inlineStr">
        <is>
          <t>[ APR % ]</t>
        </is>
      </c>
      <c r="G183" s="19" t="inlineStr">
        <is>
          <t>Min payment $</t>
        </is>
      </c>
      <c r="H183" s="19" t="inlineStr">
        <is>
          <t>26 mo · Jan 2029 · $6,040 interest</t>
        </is>
      </c>
      <c r="I183" s="16" t="inlineStr">
        <is>
          <t>⧉</t>
        </is>
      </c>
      <c r="J183" s="16" t="inlineStr">
        <is>
          <t>↺</t>
        </is>
      </c>
      <c r="K183" s="16" t="inlineStr">
        <is>
          <t>🗑</t>
        </is>
      </c>
      <c r="L183" s="18" t="inlineStr">
        <is>
          <t>Status</t>
        </is>
      </c>
      <c r="M183" s="17" t="inlineStr">
        <is>
          <t>More ▸</t>
        </is>
      </c>
    </row>
    <row r="184" ht="16" customHeight="1">
      <c r="B184" s="12" t="n"/>
      <c r="C184" s="28" t="inlineStr">
        <is>
          <t>Type</t>
        </is>
      </c>
      <c r="D184" s="29" t="inlineStr">
        <is>
          <t>Picker</t>
        </is>
      </c>
      <c r="E184" s="29" t="inlineStr">
        <is>
          <t>Field</t>
        </is>
      </c>
      <c r="F184" s="29" t="inlineStr">
        <is>
          <t>Field</t>
        </is>
      </c>
      <c r="G184" s="29" t="inlineStr">
        <is>
          <t>Computed</t>
        </is>
      </c>
      <c r="H184" s="29" t="inlineStr">
        <is>
          <t>Computed</t>
        </is>
      </c>
      <c r="I184" s="29" t="inlineStr">
        <is>
          <t>Icon button</t>
        </is>
      </c>
      <c r="J184" s="29" t="inlineStr">
        <is>
          <t>Icon button</t>
        </is>
      </c>
      <c r="K184" s="29" t="inlineStr">
        <is>
          <t>Icon button</t>
        </is>
      </c>
      <c r="L184" s="29" t="inlineStr">
        <is>
          <t>Status tag</t>
        </is>
      </c>
      <c r="M184" s="29" t="inlineStr">
        <is>
          <t>Caret</t>
        </is>
      </c>
    </row>
    <row r="185" ht="40" customHeight="1">
      <c r="B185" s="12" t="n"/>
      <c r="C185" s="28" t="inlineStr">
        <is>
          <t>What it does</t>
        </is>
      </c>
      <c r="D185" s="30" t="inlineStr">
        <is>
          <t>From card library; free text allowed</t>
        </is>
      </c>
      <c r="E185" s="30" t="n"/>
      <c r="F185" s="30" t="inlineStr">
        <is>
          <t>'Not sure' fills a typical rate marked Roughly</t>
        </is>
      </c>
      <c r="G185" s="30" t="inlineStr">
        <is>
          <t>Worked out from balance and APR; overwrite if the statement says otherwise</t>
        </is>
      </c>
      <c r="H185" s="30" t="inlineStr">
        <is>
          <t>Months, payoff date, total interest at the payment chosen. Never rounded to years</t>
        </is>
      </c>
      <c r="I185" s="30" t="inlineStr">
        <is>
          <t>Duplicate: copies this row, opens it for editing. Small icon, tooltip on hover</t>
        </is>
      </c>
      <c r="J185" s="30" t="inlineStr">
        <is>
          <t>Reset: clears this row back to blank, keeps the row. Small icon</t>
        </is>
      </c>
      <c r="K185" s="30" t="inlineStr">
        <is>
          <t>Delete: removes the row with an 'Undo' toast for 10 seconds. Small trash can</t>
        </is>
      </c>
      <c r="L185" s="30" t="inlineStr">
        <is>
          <t>Confidence for the whole row; each field can override</t>
        </is>
      </c>
      <c r="M185" s="30" t="inlineStr">
        <is>
          <t>Shows Secondary fields. Collapsed by default. Paid with sits at the top of it</t>
        </is>
      </c>
    </row>
    <row r="186" ht="30" customHeight="1">
      <c r="B186" s="12" t="inlineStr">
        <is>
          <t>Secondary</t>
        </is>
      </c>
      <c r="C186" s="28" t="inlineStr">
        <is>
          <t>Looks like</t>
        </is>
      </c>
      <c r="D186" s="14" t="inlineStr">
        <is>
          <t>Pay: Minimum | Custom | In full</t>
        </is>
      </c>
      <c r="E186" s="13" t="inlineStr">
        <is>
          <t>Custom $ / mo</t>
        </is>
      </c>
      <c r="F186" s="15" t="inlineStr">
        <is>
          <t>Pay in full</t>
        </is>
      </c>
      <c r="G186" s="13" t="inlineStr">
        <is>
          <t>0% promo % and end date</t>
        </is>
      </c>
      <c r="H186" s="13" t="inlineStr">
        <is>
          <t>Due day</t>
        </is>
      </c>
      <c r="I186" s="13" t="inlineStr">
        <is>
          <t>Credit limit</t>
        </is>
      </c>
      <c r="J186" s="14" t="inlineStr">
        <is>
          <t>Personal | Business</t>
        </is>
      </c>
      <c r="K186" s="14" t="inlineStr">
        <is>
          <t>Stress 1-5</t>
        </is>
      </c>
      <c r="L186" s="14" t="inlineStr">
        <is>
          <t>Owner ▾</t>
        </is>
      </c>
      <c r="M186" s="17" t="inlineStr">
        <is>
          <t>More ▸</t>
        </is>
      </c>
    </row>
    <row r="187" ht="16" customHeight="1">
      <c r="B187" s="12" t="n"/>
      <c r="C187" s="28" t="inlineStr">
        <is>
          <t>Type</t>
        </is>
      </c>
      <c r="D187" s="29" t="inlineStr">
        <is>
          <t>Toggle</t>
        </is>
      </c>
      <c r="E187" s="29" t="inlineStr">
        <is>
          <t>Field</t>
        </is>
      </c>
      <c r="F187" s="29" t="inlineStr">
        <is>
          <t>Button</t>
        </is>
      </c>
      <c r="G187" s="29" t="inlineStr">
        <is>
          <t>Field</t>
        </is>
      </c>
      <c r="H187" s="29" t="inlineStr">
        <is>
          <t>Field</t>
        </is>
      </c>
      <c r="I187" s="29" t="inlineStr">
        <is>
          <t>Field</t>
        </is>
      </c>
      <c r="J187" s="29" t="inlineStr">
        <is>
          <t>Toggle</t>
        </is>
      </c>
      <c r="K187" s="29" t="inlineStr">
        <is>
          <t>Stepper</t>
        </is>
      </c>
      <c r="L187" s="29" t="inlineStr">
        <is>
          <t>Dropdown</t>
        </is>
      </c>
      <c r="M187" s="29" t="inlineStr">
        <is>
          <t>Caret</t>
        </is>
      </c>
    </row>
    <row r="188" ht="40" customHeight="1">
      <c r="B188" s="12" t="n"/>
      <c r="C188" s="28" t="inlineStr">
        <is>
          <t>What it does</t>
        </is>
      </c>
      <c r="D188" s="30" t="inlineStr">
        <is>
          <t>Payment choice; payoff line updates</t>
        </is>
      </c>
      <c r="E188" s="30" t="inlineStr">
        <is>
          <t>Only when Custom</t>
        </is>
      </c>
      <c r="F188" s="30" t="inlineStr">
        <is>
          <t>Sets payment to the full balance each month (no interest)</t>
        </is>
      </c>
      <c r="G188" s="30" t="inlineStr">
        <is>
          <t>Warns 60 days before the promo ends</t>
        </is>
      </c>
      <c r="H188" s="30" t="inlineStr">
        <is>
          <t>Appears on the cash flow calendar</t>
        </is>
      </c>
      <c r="I188" s="30" t="inlineStr">
        <is>
          <t>Feeds utilization</t>
        </is>
      </c>
      <c r="J188" s="30" t="n"/>
      <c r="K188" s="30" t="inlineStr">
        <is>
          <t>Feeds Stress payoff order</t>
        </is>
      </c>
      <c r="L188" s="30" t="inlineStr">
        <is>
          <t>Couples only</t>
        </is>
      </c>
      <c r="M188" s="30" t="inlineStr">
        <is>
          <t>Shows Tertiary fields. Collapsed by default. Paid with sits at the top of it</t>
        </is>
      </c>
    </row>
    <row r="189" ht="30" customHeight="1">
      <c r="B189" s="12" t="inlineStr">
        <is>
          <t>Tertiary</t>
        </is>
      </c>
      <c r="C189" s="28" t="inlineStr">
        <is>
          <t>Looks like</t>
        </is>
      </c>
      <c r="D189" s="14" t="inlineStr">
        <is>
          <t>Institution</t>
        </is>
      </c>
      <c r="E189" s="14" t="inlineStr">
        <is>
          <t>Opened date</t>
        </is>
      </c>
      <c r="F189" s="13" t="inlineStr">
        <is>
          <t>Annual fee</t>
        </is>
      </c>
      <c r="G189" s="13" t="inlineStr">
        <is>
          <t>Bonus $ / spend needed / by when</t>
        </is>
      </c>
      <c r="H189" s="23" t="inlineStr">
        <is>
          <t>Benefits from library</t>
        </is>
      </c>
      <c r="I189" s="13" t="inlineStr">
        <is>
          <t>Notes</t>
        </is>
      </c>
    </row>
    <row r="190" ht="16" customHeight="1">
      <c r="B190" s="12" t="n"/>
      <c r="C190" s="28" t="inlineStr">
        <is>
          <t>Type</t>
        </is>
      </c>
      <c r="D190" s="29" t="inlineStr">
        <is>
          <t>Picker</t>
        </is>
      </c>
      <c r="E190" s="29" t="inlineStr">
        <is>
          <t>Picker</t>
        </is>
      </c>
      <c r="F190" s="29" t="inlineStr">
        <is>
          <t>Field</t>
        </is>
      </c>
      <c r="G190" s="29" t="inlineStr">
        <is>
          <t>Field</t>
        </is>
      </c>
      <c r="H190" s="29" t="inlineStr">
        <is>
          <t>Card</t>
        </is>
      </c>
      <c r="I190" s="29" t="inlineStr">
        <is>
          <t>Field</t>
        </is>
      </c>
    </row>
    <row r="191" ht="40" customHeight="1">
      <c r="B191" s="12" t="n"/>
      <c r="C191" s="28" t="inlineStr">
        <is>
          <t>What it does</t>
        </is>
      </c>
      <c r="D191" s="30" t="inlineStr">
        <is>
          <t>Groups cards by bank</t>
        </is>
      </c>
      <c r="E191" s="30" t="inlineStr">
        <is>
          <t>Card age</t>
        </is>
      </c>
      <c r="F191" s="30" t="n"/>
      <c r="G191" s="30" t="inlineStr">
        <is>
          <t>Three boxes</t>
        </is>
      </c>
      <c r="H191" s="30" t="inlineStr">
        <is>
          <t>Read only, from card library</t>
        </is>
      </c>
      <c r="I191" s="30" t="inlineStr">
        <is>
          <t>Coach notes</t>
        </is>
      </c>
    </row>
    <row r="193">
      <c r="A193" s="25" t="inlineStr">
        <is>
          <t>Debt › Student loan</t>
        </is>
      </c>
      <c r="B193" s="26" t="n"/>
      <c r="C193" s="26" t="n"/>
      <c r="D193" s="26" t="n"/>
      <c r="E193" s="26" t="n"/>
      <c r="F193" s="26" t="n"/>
      <c r="G193" s="26" t="n"/>
      <c r="H193" s="26" t="n"/>
      <c r="I193" s="26" t="n"/>
      <c r="J193" s="26" t="n"/>
      <c r="K193" s="26" t="n"/>
      <c r="L193" s="26" t="n"/>
      <c r="M193" s="26" t="n"/>
      <c r="N193" s="26" t="n"/>
      <c r="O193" s="27" t="inlineStr">
        <is>
          <t>Your sheet row 9</t>
        </is>
      </c>
    </row>
    <row r="194" ht="30" customHeight="1">
      <c r="B194" s="12" t="inlineStr">
        <is>
          <t>Primary</t>
        </is>
      </c>
      <c r="C194" s="28" t="inlineStr">
        <is>
          <t>Looks like</t>
        </is>
      </c>
      <c r="D194" s="14" t="inlineStr">
        <is>
          <t>Servicer or name</t>
        </is>
      </c>
      <c r="E194" s="13" t="inlineStr">
        <is>
          <t>[ $ Balance ]</t>
        </is>
      </c>
      <c r="F194" s="13" t="inlineStr">
        <is>
          <t>[ APR % ]</t>
        </is>
      </c>
      <c r="G194" s="13" t="inlineStr">
        <is>
          <t>[ $ Payment / mo ]</t>
        </is>
      </c>
      <c r="H194" s="19" t="inlineStr">
        <is>
          <t>Payoff date · total interest</t>
        </is>
      </c>
      <c r="I194" s="16" t="inlineStr">
        <is>
          <t>⧉</t>
        </is>
      </c>
      <c r="J194" s="16" t="inlineStr">
        <is>
          <t>↺</t>
        </is>
      </c>
      <c r="K194" s="16" t="inlineStr">
        <is>
          <t>🗑</t>
        </is>
      </c>
      <c r="L194" s="18" t="inlineStr">
        <is>
          <t>Status</t>
        </is>
      </c>
      <c r="M194" s="17" t="inlineStr">
        <is>
          <t>More ▸</t>
        </is>
      </c>
    </row>
    <row r="195" ht="16" customHeight="1">
      <c r="B195" s="12" t="n"/>
      <c r="C195" s="28" t="inlineStr">
        <is>
          <t>Type</t>
        </is>
      </c>
      <c r="D195" s="29" t="inlineStr">
        <is>
          <t>Picker</t>
        </is>
      </c>
      <c r="E195" s="29" t="inlineStr">
        <is>
          <t>Field</t>
        </is>
      </c>
      <c r="F195" s="29" t="inlineStr">
        <is>
          <t>Field</t>
        </is>
      </c>
      <c r="G195" s="29" t="inlineStr">
        <is>
          <t>Field</t>
        </is>
      </c>
      <c r="H195" s="29" t="inlineStr">
        <is>
          <t>Computed</t>
        </is>
      </c>
      <c r="I195" s="29" t="inlineStr">
        <is>
          <t>Icon button</t>
        </is>
      </c>
      <c r="J195" s="29" t="inlineStr">
        <is>
          <t>Icon button</t>
        </is>
      </c>
      <c r="K195" s="29" t="inlineStr">
        <is>
          <t>Icon button</t>
        </is>
      </c>
      <c r="L195" s="29" t="inlineStr">
        <is>
          <t>Status tag</t>
        </is>
      </c>
      <c r="M195" s="29" t="inlineStr">
        <is>
          <t>Caret</t>
        </is>
      </c>
    </row>
    <row r="196" ht="40" customHeight="1">
      <c r="B196" s="12" t="n"/>
      <c r="C196" s="28" t="inlineStr">
        <is>
          <t>What it does</t>
        </is>
      </c>
      <c r="D196" s="30" t="n"/>
      <c r="E196" s="30" t="n"/>
      <c r="F196" s="30" t="n"/>
      <c r="G196" s="30" t="n"/>
      <c r="H196" s="30" t="n"/>
      <c r="I196" s="30" t="inlineStr">
        <is>
          <t>Duplicate: copies this row, opens it for editing. Small icon, tooltip on hover</t>
        </is>
      </c>
      <c r="J196" s="30" t="inlineStr">
        <is>
          <t>Reset: clears this row back to blank, keeps the row. Small icon</t>
        </is>
      </c>
      <c r="K196" s="30" t="inlineStr">
        <is>
          <t>Delete: removes the row with an 'Undo' toast for 10 seconds. Small trash can</t>
        </is>
      </c>
      <c r="L196" s="30" t="inlineStr">
        <is>
          <t>Confidence for the whole row; each field can override</t>
        </is>
      </c>
      <c r="M196" s="30" t="inlineStr">
        <is>
          <t>Shows Secondary fields. Collapsed by default. Paid with sits at the top of it</t>
        </is>
      </c>
    </row>
    <row r="197" ht="30" customHeight="1">
      <c r="B197" s="12" t="inlineStr">
        <is>
          <t>Secondary</t>
        </is>
      </c>
      <c r="C197" s="28" t="inlineStr">
        <is>
          <t>Looks like</t>
        </is>
      </c>
      <c r="D197" s="14" t="inlineStr">
        <is>
          <t>Federal | Private</t>
        </is>
      </c>
      <c r="E197" s="14" t="inlineStr">
        <is>
          <t>Repayment plan ▾</t>
        </is>
      </c>
      <c r="F197" s="14" t="inlineStr">
        <is>
          <t>Stress 1-5</t>
        </is>
      </c>
      <c r="G197" s="17" t="inlineStr">
        <is>
          <t>More ▸</t>
        </is>
      </c>
    </row>
    <row r="198" ht="16" customHeight="1">
      <c r="B198" s="12" t="n"/>
      <c r="C198" s="28" t="inlineStr">
        <is>
          <t>Type</t>
        </is>
      </c>
      <c r="D198" s="29" t="inlineStr">
        <is>
          <t>Toggle</t>
        </is>
      </c>
      <c r="E198" s="29" t="inlineStr">
        <is>
          <t>Dropdown</t>
        </is>
      </c>
      <c r="F198" s="29" t="inlineStr">
        <is>
          <t>Stepper</t>
        </is>
      </c>
      <c r="G198" s="29" t="inlineStr">
        <is>
          <t>Caret</t>
        </is>
      </c>
    </row>
    <row r="199" ht="40" customHeight="1">
      <c r="B199" s="12" t="n"/>
      <c r="C199" s="28" t="inlineStr">
        <is>
          <t>What it does</t>
        </is>
      </c>
      <c r="D199" s="30" t="inlineStr">
        <is>
          <t>Federal unlocks repayment plan options</t>
        </is>
      </c>
      <c r="E199" s="30" t="inlineStr">
        <is>
          <t>Standard, income-driven, other</t>
        </is>
      </c>
      <c r="F199" s="30" t="n"/>
      <c r="G199" s="30" t="inlineStr">
        <is>
          <t>Shows Tertiary fields. Collapsed by default. Paid with sits at the top of it</t>
        </is>
      </c>
    </row>
    <row r="200" ht="30" customHeight="1">
      <c r="B200" s="12" t="inlineStr">
        <is>
          <t>Tertiary</t>
        </is>
      </c>
      <c r="C200" s="28" t="inlineStr">
        <is>
          <t>Looks like</t>
        </is>
      </c>
      <c r="D200" s="15" t="inlineStr">
        <is>
          <t>+ Add each loan</t>
        </is>
      </c>
      <c r="E200" s="14" t="inlineStr">
        <is>
          <t>PSLF eligible ▾</t>
        </is>
      </c>
      <c r="F200" s="14" t="inlineStr">
        <is>
          <t>Forbearance / deferment ▾</t>
        </is>
      </c>
    </row>
    <row r="201" ht="16" customHeight="1">
      <c r="B201" s="12" t="n"/>
      <c r="C201" s="28" t="inlineStr">
        <is>
          <t>Type</t>
        </is>
      </c>
      <c r="D201" s="29" t="inlineStr">
        <is>
          <t>Button</t>
        </is>
      </c>
      <c r="E201" s="29" t="inlineStr">
        <is>
          <t>Dropdown</t>
        </is>
      </c>
      <c r="F201" s="29" t="inlineStr">
        <is>
          <t>Dropdown</t>
        </is>
      </c>
    </row>
    <row r="202" ht="40" customHeight="1">
      <c r="B202" s="12" t="n"/>
      <c r="C202" s="28" t="inlineStr">
        <is>
          <t>What it does</t>
        </is>
      </c>
      <c r="D202" s="30" t="inlineStr">
        <is>
          <t>Splits into individual loans under this group</t>
        </is>
      </c>
      <c r="E202" s="30" t="inlineStr">
        <is>
          <t>Yes, no, not sure</t>
        </is>
      </c>
      <c r="F202" s="30" t="n"/>
    </row>
    <row r="204">
      <c r="A204" s="25" t="inlineStr">
        <is>
          <t>Debt › Car loan</t>
        </is>
      </c>
      <c r="B204" s="26" t="n"/>
      <c r="C204" s="26" t="n"/>
      <c r="D204" s="26" t="n"/>
      <c r="E204" s="26" t="n"/>
      <c r="F204" s="26" t="n"/>
      <c r="G204" s="26" t="n"/>
      <c r="H204" s="26" t="n"/>
      <c r="I204" s="26" t="n"/>
      <c r="J204" s="26" t="n"/>
      <c r="K204" s="26" t="n"/>
      <c r="L204" s="26" t="n"/>
      <c r="M204" s="26" t="n"/>
      <c r="N204" s="26" t="n"/>
      <c r="O204" s="26" t="n"/>
    </row>
    <row r="205" ht="30" customHeight="1">
      <c r="B205" s="12" t="inlineStr">
        <is>
          <t>Primary</t>
        </is>
      </c>
      <c r="C205" s="28" t="inlineStr">
        <is>
          <t>Looks like</t>
        </is>
      </c>
      <c r="D205" s="13" t="inlineStr">
        <is>
          <t>Lender</t>
        </is>
      </c>
      <c r="E205" s="13" t="inlineStr">
        <is>
          <t>[ $ Balance ]</t>
        </is>
      </c>
      <c r="F205" s="13" t="inlineStr">
        <is>
          <t>[ APR % ]</t>
        </is>
      </c>
      <c r="G205" s="13" t="inlineStr">
        <is>
          <t>[ $ Payment / mo ]</t>
        </is>
      </c>
      <c r="H205" s="14" t="inlineStr">
        <is>
          <t>Linked car ▾</t>
        </is>
      </c>
      <c r="I205" s="19" t="inlineStr">
        <is>
          <t>Payoff date</t>
        </is>
      </c>
      <c r="J205" s="16" t="inlineStr">
        <is>
          <t>⧉</t>
        </is>
      </c>
      <c r="K205" s="16" t="inlineStr">
        <is>
          <t>↺</t>
        </is>
      </c>
      <c r="L205" s="16" t="inlineStr">
        <is>
          <t>🗑</t>
        </is>
      </c>
      <c r="M205" s="18" t="inlineStr">
        <is>
          <t>Status</t>
        </is>
      </c>
      <c r="N205" s="17" t="inlineStr">
        <is>
          <t>More ▸</t>
        </is>
      </c>
    </row>
    <row r="206" ht="16" customHeight="1">
      <c r="B206" s="12" t="n"/>
      <c r="C206" s="28" t="inlineStr">
        <is>
          <t>Type</t>
        </is>
      </c>
      <c r="D206" s="29" t="inlineStr">
        <is>
          <t>Field</t>
        </is>
      </c>
      <c r="E206" s="29" t="inlineStr">
        <is>
          <t>Field</t>
        </is>
      </c>
      <c r="F206" s="29" t="inlineStr">
        <is>
          <t>Field</t>
        </is>
      </c>
      <c r="G206" s="29" t="inlineStr">
        <is>
          <t>Field</t>
        </is>
      </c>
      <c r="H206" s="29" t="inlineStr">
        <is>
          <t>Dropdown</t>
        </is>
      </c>
      <c r="I206" s="29" t="inlineStr">
        <is>
          <t>Computed</t>
        </is>
      </c>
      <c r="J206" s="29" t="inlineStr">
        <is>
          <t>Icon button</t>
        </is>
      </c>
      <c r="K206" s="29" t="inlineStr">
        <is>
          <t>Icon button</t>
        </is>
      </c>
      <c r="L206" s="29" t="inlineStr">
        <is>
          <t>Icon button</t>
        </is>
      </c>
      <c r="M206" s="29" t="inlineStr">
        <is>
          <t>Status tag</t>
        </is>
      </c>
      <c r="N206" s="29" t="inlineStr">
        <is>
          <t>Caret</t>
        </is>
      </c>
    </row>
    <row r="207" ht="40" customHeight="1">
      <c r="B207" s="12" t="n"/>
      <c r="C207" s="28" t="inlineStr">
        <is>
          <t>What it does</t>
        </is>
      </c>
      <c r="D207" s="30" t="n"/>
      <c r="E207" s="30" t="n"/>
      <c r="F207" s="30" t="n"/>
      <c r="G207" s="30" t="n"/>
      <c r="H207" s="30" t="inlineStr">
        <is>
          <t>Same loan shows on the car in Assets</t>
        </is>
      </c>
      <c r="I207" s="30" t="n"/>
      <c r="J207" s="30" t="inlineStr">
        <is>
          <t>Duplicate: copies this row, opens it for editing. Small icon, tooltip on hover</t>
        </is>
      </c>
      <c r="K207" s="30" t="inlineStr">
        <is>
          <t>Reset: clears this row back to blank, keeps the row. Small icon</t>
        </is>
      </c>
      <c r="L207" s="30" t="inlineStr">
        <is>
          <t>Delete: removes the row with an 'Undo' toast for 10 seconds. Small trash can</t>
        </is>
      </c>
      <c r="M207" s="30" t="inlineStr">
        <is>
          <t>Confidence for the whole row; each field can override</t>
        </is>
      </c>
      <c r="N207" s="30" t="inlineStr">
        <is>
          <t>Shows Secondary fields. Collapsed by default. Paid with sits at the top of it</t>
        </is>
      </c>
    </row>
    <row r="208" ht="30" customHeight="1">
      <c r="B208" s="12" t="inlineStr">
        <is>
          <t>Secondary</t>
        </is>
      </c>
      <c r="C208" s="28" t="inlineStr">
        <is>
          <t>Looks like</t>
        </is>
      </c>
      <c r="D208" s="13" t="inlineStr">
        <is>
          <t>Months left</t>
        </is>
      </c>
      <c r="E208" s="14" t="inlineStr">
        <is>
          <t>Stress 1-5</t>
        </is>
      </c>
    </row>
    <row r="209" ht="16" customHeight="1">
      <c r="B209" s="12" t="n"/>
      <c r="C209" s="28" t="inlineStr">
        <is>
          <t>Type</t>
        </is>
      </c>
      <c r="D209" s="29" t="inlineStr">
        <is>
          <t>Field</t>
        </is>
      </c>
      <c r="E209" s="29" t="inlineStr">
        <is>
          <t>Stepper</t>
        </is>
      </c>
    </row>
    <row r="210" ht="40" customHeight="1">
      <c r="B210" s="12" t="n"/>
      <c r="C210" s="28" t="inlineStr">
        <is>
          <t>What it does</t>
        </is>
      </c>
      <c r="D210" s="30" t="inlineStr">
        <is>
          <t>Checks the payoff date</t>
        </is>
      </c>
      <c r="E210" s="30" t="n"/>
    </row>
    <row r="212">
      <c r="A212" s="25" t="inlineStr">
        <is>
          <t>Debt › Any other debt</t>
        </is>
      </c>
      <c r="B212" s="26" t="n"/>
      <c r="C212" s="26" t="n"/>
      <c r="D212" s="26" t="n"/>
      <c r="E212" s="26" t="n"/>
      <c r="F212" s="26" t="n"/>
      <c r="G212" s="26" t="n"/>
      <c r="H212" s="26" t="n"/>
      <c r="I212" s="26" t="n"/>
      <c r="J212" s="26" t="n"/>
      <c r="K212" s="26" t="n"/>
      <c r="L212" s="26" t="n"/>
      <c r="M212" s="26" t="n"/>
      <c r="N212" s="26" t="n"/>
      <c r="O212" s="26" t="n"/>
    </row>
    <row r="213" ht="30" customHeight="1">
      <c r="B213" s="12" t="inlineStr">
        <is>
          <t>Primary</t>
        </is>
      </c>
      <c r="C213" s="28" t="inlineStr">
        <is>
          <t>Looks like</t>
        </is>
      </c>
      <c r="D213" s="14" t="inlineStr">
        <is>
          <t>Type ▾</t>
        </is>
      </c>
      <c r="E213" s="13" t="inlineStr">
        <is>
          <t>Name</t>
        </is>
      </c>
      <c r="F213" s="13" t="inlineStr">
        <is>
          <t>[ $ Balance ]</t>
        </is>
      </c>
      <c r="G213" s="13" t="inlineStr">
        <is>
          <t>[ Rate % ]</t>
        </is>
      </c>
      <c r="H213" s="13" t="inlineStr">
        <is>
          <t>[ $ Payment / mo ]</t>
        </is>
      </c>
      <c r="I213" s="19" t="inlineStr">
        <is>
          <t>Payoff date</t>
        </is>
      </c>
      <c r="J213" s="16" t="inlineStr">
        <is>
          <t>⧉</t>
        </is>
      </c>
      <c r="K213" s="16" t="inlineStr">
        <is>
          <t>↺</t>
        </is>
      </c>
      <c r="L213" s="16" t="inlineStr">
        <is>
          <t>🗑</t>
        </is>
      </c>
      <c r="M213" s="18" t="inlineStr">
        <is>
          <t>Status</t>
        </is>
      </c>
      <c r="N213" s="17" t="inlineStr">
        <is>
          <t>More ▸</t>
        </is>
      </c>
    </row>
    <row r="214" ht="16" customHeight="1">
      <c r="B214" s="12" t="n"/>
      <c r="C214" s="28" t="inlineStr">
        <is>
          <t>Type</t>
        </is>
      </c>
      <c r="D214" s="29" t="inlineStr">
        <is>
          <t>Dropdown</t>
        </is>
      </c>
      <c r="E214" s="29" t="inlineStr">
        <is>
          <t>Field</t>
        </is>
      </c>
      <c r="F214" s="29" t="inlineStr">
        <is>
          <t>Field</t>
        </is>
      </c>
      <c r="G214" s="29" t="inlineStr">
        <is>
          <t>Field</t>
        </is>
      </c>
      <c r="H214" s="29" t="inlineStr">
        <is>
          <t>Field</t>
        </is>
      </c>
      <c r="I214" s="29" t="inlineStr">
        <is>
          <t>Computed</t>
        </is>
      </c>
      <c r="J214" s="29" t="inlineStr">
        <is>
          <t>Icon button</t>
        </is>
      </c>
      <c r="K214" s="29" t="inlineStr">
        <is>
          <t>Icon button</t>
        </is>
      </c>
      <c r="L214" s="29" t="inlineStr">
        <is>
          <t>Icon button</t>
        </is>
      </c>
      <c r="M214" s="29" t="inlineStr">
        <is>
          <t>Status tag</t>
        </is>
      </c>
      <c r="N214" s="29" t="inlineStr">
        <is>
          <t>Caret</t>
        </is>
      </c>
    </row>
    <row r="215" ht="40" customHeight="1">
      <c r="B215" s="12" t="n"/>
      <c r="C215" s="28" t="inlineStr">
        <is>
          <t>What it does</t>
        </is>
      </c>
      <c r="D215" s="30" t="inlineStr">
        <is>
          <t>Personal, medical, family, BNPL, payday, tax, 401(k) loan, business, other</t>
        </is>
      </c>
      <c r="E215" s="30" t="n"/>
      <c r="F215" s="30" t="n"/>
      <c r="G215" s="30" t="inlineStr">
        <is>
          <t>Payday: fees convert to APR</t>
        </is>
      </c>
      <c r="H215" s="30" t="n"/>
      <c r="I215" s="30" t="n"/>
      <c r="J215" s="30" t="inlineStr">
        <is>
          <t>Duplicate: copies this row, opens it for editing. Small icon, tooltip on hover</t>
        </is>
      </c>
      <c r="K215" s="30" t="inlineStr">
        <is>
          <t>Reset: clears this row back to blank, keeps the row. Small icon</t>
        </is>
      </c>
      <c r="L215" s="30" t="inlineStr">
        <is>
          <t>Delete: removes the row with an 'Undo' toast for 10 seconds. Small trash can</t>
        </is>
      </c>
      <c r="M215" s="30" t="inlineStr">
        <is>
          <t>Confidence for the whole row; each field can override</t>
        </is>
      </c>
      <c r="N215" s="30" t="inlineStr">
        <is>
          <t>Shows Secondary fields. Collapsed by default. Paid with sits at the top of it</t>
        </is>
      </c>
    </row>
    <row r="216" ht="30" customHeight="1">
      <c r="B216" s="12" t="inlineStr">
        <is>
          <t>Secondary</t>
        </is>
      </c>
      <c r="C216" s="28" t="inlineStr">
        <is>
          <t>Looks like</t>
        </is>
      </c>
      <c r="D216" s="23" t="inlineStr">
        <is>
          <t>Fields unique to the type</t>
        </is>
      </c>
      <c r="E216" s="14" t="inlineStr">
        <is>
          <t>Stress 1-5</t>
        </is>
      </c>
    </row>
    <row r="217" ht="16" customHeight="1">
      <c r="B217" s="12" t="n"/>
      <c r="C217" s="28" t="inlineStr">
        <is>
          <t>Type</t>
        </is>
      </c>
      <c r="D217" s="29" t="inlineStr">
        <is>
          <t>Card</t>
        </is>
      </c>
      <c r="E217" s="29" t="inlineStr">
        <is>
          <t>Stepper</t>
        </is>
      </c>
    </row>
    <row r="218" ht="40" customHeight="1">
      <c r="B218" s="12" t="n"/>
      <c r="C218" s="28" t="inlineStr">
        <is>
          <t>What it does</t>
        </is>
      </c>
      <c r="D218" s="30" t="inlineStr">
        <is>
          <t>Medical: in collections. Family: terms. Payday: fee per period. Tax: payment plan. 401(k) loan: due if you leave the job</t>
        </is>
      </c>
      <c r="E218" s="30" t="n"/>
    </row>
    <row r="220">
      <c r="A220" s="25" t="inlineStr">
        <is>
          <t>Debt › Summary strip</t>
        </is>
      </c>
      <c r="B220" s="26" t="n"/>
      <c r="C220" s="26" t="n"/>
      <c r="D220" s="26" t="n"/>
      <c r="E220" s="26" t="n"/>
      <c r="F220" s="26" t="n"/>
      <c r="G220" s="26" t="n"/>
      <c r="H220" s="26" t="n"/>
      <c r="I220" s="26" t="n"/>
      <c r="J220" s="26" t="n"/>
      <c r="K220" s="26" t="n"/>
      <c r="L220" s="26" t="n"/>
      <c r="M220" s="26" t="n"/>
      <c r="N220" s="26" t="n"/>
      <c r="O220" s="26" t="n"/>
    </row>
    <row r="221" ht="30" customHeight="1">
      <c r="B221" s="12" t="inlineStr">
        <is>
          <t>Primary</t>
        </is>
      </c>
      <c r="C221" s="28" t="inlineStr">
        <is>
          <t>Looks like</t>
        </is>
      </c>
      <c r="D221" s="19" t="inlineStr">
        <is>
          <t>Debt-free date</t>
        </is>
      </c>
      <c r="E221" s="19" t="inlineStr">
        <is>
          <t>Total interest left</t>
        </is>
      </c>
      <c r="F221" s="19" t="inlineStr">
        <is>
          <t>Debt-to-income</t>
        </is>
      </c>
      <c r="G221" s="19" t="inlineStr">
        <is>
          <t>Utilization</t>
        </is>
      </c>
      <c r="H221" s="15" t="inlineStr">
        <is>
          <t>See payoff chart ›</t>
        </is>
      </c>
    </row>
    <row r="222" ht="16" customHeight="1">
      <c r="B222" s="12" t="n"/>
      <c r="C222" s="28" t="inlineStr">
        <is>
          <t>Type</t>
        </is>
      </c>
      <c r="D222" s="29" t="inlineStr">
        <is>
          <t>Computed</t>
        </is>
      </c>
      <c r="E222" s="29" t="inlineStr">
        <is>
          <t>Computed</t>
        </is>
      </c>
      <c r="F222" s="29" t="inlineStr">
        <is>
          <t>Computed</t>
        </is>
      </c>
      <c r="G222" s="29" t="inlineStr">
        <is>
          <t>Computed</t>
        </is>
      </c>
      <c r="H222" s="29" t="inlineStr">
        <is>
          <t>Button</t>
        </is>
      </c>
    </row>
    <row r="223" ht="40" customHeight="1">
      <c r="B223" s="12" t="n"/>
      <c r="C223" s="28" t="inlineStr">
        <is>
          <t>What it does</t>
        </is>
      </c>
      <c r="D223" s="30" t="n"/>
      <c r="E223" s="30" t="n"/>
      <c r="F223" s="30" t="n"/>
      <c r="G223" s="30" t="n"/>
      <c r="H223" s="30" t="inlineStr">
        <is>
          <t>Opens Plan &gt; Debt payoff chart</t>
        </is>
      </c>
    </row>
    <row r="225">
      <c r="A225" s="25" t="inlineStr">
        <is>
          <t>Assets › Cash account</t>
        </is>
      </c>
      <c r="B225" s="26" t="n"/>
      <c r="C225" s="26" t="n"/>
      <c r="D225" s="26" t="n"/>
      <c r="E225" s="26" t="n"/>
      <c r="F225" s="26" t="n"/>
      <c r="G225" s="26" t="n"/>
      <c r="H225" s="26" t="n"/>
      <c r="I225" s="26" t="n"/>
      <c r="J225" s="26" t="n"/>
      <c r="K225" s="26" t="n"/>
      <c r="L225" s="26" t="n"/>
      <c r="M225" s="26" t="n"/>
      <c r="N225" s="26" t="n"/>
      <c r="O225" s="26" t="n"/>
    </row>
    <row r="226" ht="30" customHeight="1">
      <c r="B226" s="12" t="inlineStr">
        <is>
          <t>Primary</t>
        </is>
      </c>
      <c r="C226" s="28" t="inlineStr">
        <is>
          <t>Looks like</t>
        </is>
      </c>
      <c r="D226" s="13" t="inlineStr">
        <is>
          <t>Account name</t>
        </is>
      </c>
      <c r="E226" s="13" t="inlineStr">
        <is>
          <t>[ $ Balance ]</t>
        </is>
      </c>
      <c r="F226" s="14" t="inlineStr">
        <is>
          <t>Checking | Savings</t>
        </is>
      </c>
      <c r="G226" s="16" t="inlineStr">
        <is>
          <t>⧉</t>
        </is>
      </c>
      <c r="H226" s="16" t="inlineStr">
        <is>
          <t>↺</t>
        </is>
      </c>
      <c r="I226" s="16" t="inlineStr">
        <is>
          <t>🗑</t>
        </is>
      </c>
      <c r="J226" s="18" t="inlineStr">
        <is>
          <t>Status</t>
        </is>
      </c>
      <c r="K226" s="17" t="inlineStr">
        <is>
          <t>More ▸</t>
        </is>
      </c>
    </row>
    <row r="227" ht="16" customHeight="1">
      <c r="B227" s="12" t="n"/>
      <c r="C227" s="28" t="inlineStr">
        <is>
          <t>Type</t>
        </is>
      </c>
      <c r="D227" s="29" t="inlineStr">
        <is>
          <t>Field</t>
        </is>
      </c>
      <c r="E227" s="29" t="inlineStr">
        <is>
          <t>Field</t>
        </is>
      </c>
      <c r="F227" s="29" t="inlineStr">
        <is>
          <t>Toggle</t>
        </is>
      </c>
      <c r="G227" s="29" t="inlineStr">
        <is>
          <t>Icon button</t>
        </is>
      </c>
      <c r="H227" s="29" t="inlineStr">
        <is>
          <t>Icon button</t>
        </is>
      </c>
      <c r="I227" s="29" t="inlineStr">
        <is>
          <t>Icon button</t>
        </is>
      </c>
      <c r="J227" s="29" t="inlineStr">
        <is>
          <t>Status tag</t>
        </is>
      </c>
      <c r="K227" s="29" t="inlineStr">
        <is>
          <t>Caret</t>
        </is>
      </c>
    </row>
    <row r="228" ht="40" customHeight="1">
      <c r="B228" s="12" t="n"/>
      <c r="C228" s="28" t="inlineStr">
        <is>
          <t>What it does</t>
        </is>
      </c>
      <c r="D228" s="30" t="n"/>
      <c r="E228" s="30" t="n"/>
      <c r="F228" s="30" t="n"/>
      <c r="G228" s="30" t="inlineStr">
        <is>
          <t>Duplicate: copies this row, opens it for editing. Small icon, tooltip on hover</t>
        </is>
      </c>
      <c r="H228" s="30" t="inlineStr">
        <is>
          <t>Reset: clears this row back to blank, keeps the row. Small icon</t>
        </is>
      </c>
      <c r="I228" s="30" t="inlineStr">
        <is>
          <t>Delete: removes the row with an 'Undo' toast for 10 seconds. Small trash can</t>
        </is>
      </c>
      <c r="J228" s="30" t="inlineStr">
        <is>
          <t>Confidence for the whole row; each field can override</t>
        </is>
      </c>
      <c r="K228" s="30" t="inlineStr">
        <is>
          <t>Shows Secondary fields. Collapsed by default. Paid with sits at the top of it</t>
        </is>
      </c>
    </row>
    <row r="229" ht="30" customHeight="1">
      <c r="B229" s="12" t="inlineStr">
        <is>
          <t>Secondary</t>
        </is>
      </c>
      <c r="C229" s="28" t="inlineStr">
        <is>
          <t>Looks like</t>
        </is>
      </c>
      <c r="D229" s="14" t="inlineStr">
        <is>
          <t>Institution</t>
        </is>
      </c>
      <c r="E229" s="13" t="inlineStr">
        <is>
          <t>APY %</t>
        </is>
      </c>
      <c r="F229" s="14" t="inlineStr">
        <is>
          <t>Purpose ▾</t>
        </is>
      </c>
      <c r="G229" s="14" t="inlineStr">
        <is>
          <t>Owner ▾</t>
        </is>
      </c>
    </row>
    <row r="230" ht="16" customHeight="1">
      <c r="B230" s="12" t="n"/>
      <c r="C230" s="28" t="inlineStr">
        <is>
          <t>Type</t>
        </is>
      </c>
      <c r="D230" s="29" t="inlineStr">
        <is>
          <t>Picker</t>
        </is>
      </c>
      <c r="E230" s="29" t="inlineStr">
        <is>
          <t>Field</t>
        </is>
      </c>
      <c r="F230" s="29" t="inlineStr">
        <is>
          <t>Dropdown</t>
        </is>
      </c>
      <c r="G230" s="29" t="inlineStr">
        <is>
          <t>Dropdown</t>
        </is>
      </c>
    </row>
    <row r="231" ht="40" customHeight="1">
      <c r="B231" s="12" t="n"/>
      <c r="C231" s="28" t="inlineStr">
        <is>
          <t>What it does</t>
        </is>
      </c>
      <c r="D231" s="30" t="n"/>
      <c r="E231" s="30" t="inlineStr">
        <is>
          <t>Flags idle cash as a small win</t>
        </is>
      </c>
      <c r="F231" s="30" t="inlineStr">
        <is>
          <t>Emergency, sinking fund, goal, general</t>
        </is>
      </c>
      <c r="G231" s="30" t="inlineStr">
        <is>
          <t>Couples only</t>
        </is>
      </c>
    </row>
    <row r="233">
      <c r="A233" s="25" t="inlineStr">
        <is>
          <t>Assets › Investment account</t>
        </is>
      </c>
      <c r="B233" s="26" t="n"/>
      <c r="C233" s="26" t="n"/>
      <c r="D233" s="26" t="n"/>
      <c r="E233" s="26" t="n"/>
      <c r="F233" s="26" t="n"/>
      <c r="G233" s="26" t="n"/>
      <c r="H233" s="26" t="n"/>
      <c r="I233" s="26" t="n"/>
      <c r="J233" s="26" t="n"/>
      <c r="K233" s="26" t="n"/>
      <c r="L233" s="26" t="n"/>
      <c r="M233" s="26" t="n"/>
      <c r="N233" s="26" t="n"/>
      <c r="O233" s="27" t="inlineStr">
        <is>
          <t>Fields change by account type (only the ones that apply appear)</t>
        </is>
      </c>
    </row>
    <row r="234" ht="30" customHeight="1">
      <c r="B234" s="12" t="inlineStr">
        <is>
          <t>Primary</t>
        </is>
      </c>
      <c r="C234" s="28" t="inlineStr">
        <is>
          <t>Looks like</t>
        </is>
      </c>
      <c r="D234" s="14" t="inlineStr">
        <is>
          <t>Account type ▾</t>
        </is>
      </c>
      <c r="E234" s="13" t="inlineStr">
        <is>
          <t>[ $ Balance ]</t>
        </is>
      </c>
      <c r="F234" s="16" t="inlineStr">
        <is>
          <t>⧉</t>
        </is>
      </c>
      <c r="G234" s="16" t="inlineStr">
        <is>
          <t>↺</t>
        </is>
      </c>
      <c r="H234" s="16" t="inlineStr">
        <is>
          <t>🗑</t>
        </is>
      </c>
      <c r="I234" s="18" t="inlineStr">
        <is>
          <t>Status</t>
        </is>
      </c>
      <c r="J234" s="17" t="inlineStr">
        <is>
          <t>More ▸</t>
        </is>
      </c>
    </row>
    <row r="235" ht="16" customHeight="1">
      <c r="B235" s="12" t="n"/>
      <c r="C235" s="28" t="inlineStr">
        <is>
          <t>Type</t>
        </is>
      </c>
      <c r="D235" s="29" t="inlineStr">
        <is>
          <t>Picker</t>
        </is>
      </c>
      <c r="E235" s="29" t="inlineStr">
        <is>
          <t>Field</t>
        </is>
      </c>
      <c r="F235" s="29" t="inlineStr">
        <is>
          <t>Icon button</t>
        </is>
      </c>
      <c r="G235" s="29" t="inlineStr">
        <is>
          <t>Icon button</t>
        </is>
      </c>
      <c r="H235" s="29" t="inlineStr">
        <is>
          <t>Icon button</t>
        </is>
      </c>
      <c r="I235" s="29" t="inlineStr">
        <is>
          <t>Status tag</t>
        </is>
      </c>
      <c r="J235" s="29" t="inlineStr">
        <is>
          <t>Caret</t>
        </is>
      </c>
    </row>
    <row r="236" ht="40" customHeight="1">
      <c r="B236" s="12" t="n"/>
      <c r="C236" s="28" t="inlineStr">
        <is>
          <t>What it does</t>
        </is>
      </c>
      <c r="D236" s="30" t="inlineStr">
        <is>
          <t>401(k), 403(b), 457, TSP, Roth IRA, Traditional IRA, Rollover IRA, SEP, Solo 401(k), HSA, 529, Brokerage, Crypto</t>
        </is>
      </c>
      <c r="E236" s="30" t="n"/>
      <c r="F236" s="30" t="inlineStr">
        <is>
          <t>Duplicate: copies this row, opens it for editing. Small icon, tooltip on hover</t>
        </is>
      </c>
      <c r="G236" s="30" t="inlineStr">
        <is>
          <t>Reset: clears this row back to blank, keeps the row. Small icon</t>
        </is>
      </c>
      <c r="H236" s="30" t="inlineStr">
        <is>
          <t>Delete: removes the row with an 'Undo' toast for 10 seconds. Small trash can</t>
        </is>
      </c>
      <c r="I236" s="30" t="inlineStr">
        <is>
          <t>Confidence for the whole row; each field can override</t>
        </is>
      </c>
      <c r="J236" s="30" t="inlineStr">
        <is>
          <t>Shows Secondary fields. Collapsed by default. Paid with sits at the top of it</t>
        </is>
      </c>
    </row>
    <row r="237" ht="30" customHeight="1">
      <c r="B237" s="12" t="inlineStr">
        <is>
          <t>Secondary</t>
        </is>
      </c>
      <c r="C237" s="28" t="inlineStr">
        <is>
          <t>Looks like</t>
        </is>
      </c>
      <c r="D237" s="14" t="inlineStr">
        <is>
          <t>Institution</t>
        </is>
      </c>
      <c r="E237" s="13" t="inlineStr">
        <is>
          <t>Contribution $</t>
        </is>
      </c>
      <c r="F237" s="14" t="inlineStr">
        <is>
          <t>per Paycheck | Year</t>
        </is>
      </c>
      <c r="G237" s="14" t="inlineStr">
        <is>
          <t>Pretax | Roth | Both</t>
        </is>
      </c>
      <c r="H237" s="13" t="inlineStr">
        <is>
          <t>Stocks/bonds split</t>
        </is>
      </c>
      <c r="I237" s="13" t="inlineStr">
        <is>
          <t>Unvested</t>
        </is>
      </c>
      <c r="J237" s="19" t="inlineStr">
        <is>
          <t>Limit used: 62%</t>
        </is>
      </c>
      <c r="K237" s="17" t="inlineStr">
        <is>
          <t>More ▸</t>
        </is>
      </c>
    </row>
    <row r="238" ht="16" customHeight="1">
      <c r="B238" s="12" t="n"/>
      <c r="C238" s="28" t="inlineStr">
        <is>
          <t>Type</t>
        </is>
      </c>
      <c r="D238" s="29" t="inlineStr">
        <is>
          <t>Picker</t>
        </is>
      </c>
      <c r="E238" s="29" t="inlineStr">
        <is>
          <t>Field</t>
        </is>
      </c>
      <c r="F238" s="29" t="inlineStr">
        <is>
          <t>Toggle</t>
        </is>
      </c>
      <c r="G238" s="29" t="inlineStr">
        <is>
          <t>Toggle</t>
        </is>
      </c>
      <c r="H238" s="29" t="inlineStr">
        <is>
          <t>Field</t>
        </is>
      </c>
      <c r="I238" s="29" t="inlineStr">
        <is>
          <t>Field</t>
        </is>
      </c>
      <c r="J238" s="29" t="inlineStr">
        <is>
          <t>Computed</t>
        </is>
      </c>
      <c r="K238" s="29" t="inlineStr">
        <is>
          <t>Caret</t>
        </is>
      </c>
    </row>
    <row r="239" ht="40" customHeight="1">
      <c r="B239" s="12" t="n"/>
      <c r="C239" s="28" t="inlineStr">
        <is>
          <t>What it does</t>
        </is>
      </c>
      <c r="D239" s="30" t="n"/>
      <c r="E239" s="30" t="n"/>
      <c r="F239" s="30" t="n"/>
      <c r="G239" s="30" t="inlineStr">
        <is>
          <t>Both opens two balance boxes</t>
        </is>
      </c>
      <c r="H239" s="30" t="inlineStr">
        <is>
          <t>Slider</t>
        </is>
      </c>
      <c r="I239" s="30" t="inlineStr">
        <is>
          <t>Shown separately but counted</t>
        </is>
      </c>
      <c r="J239" s="30" t="inlineStr">
        <is>
          <t>Against the legal limit</t>
        </is>
      </c>
      <c r="K239" s="30" t="inlineStr">
        <is>
          <t>Shows Tertiary fields. Collapsed by default. Paid with sits at the top of it</t>
        </is>
      </c>
    </row>
    <row r="240" ht="30" customHeight="1">
      <c r="B240" s="12" t="inlineStr">
        <is>
          <t>Tertiary</t>
        </is>
      </c>
      <c r="C240" s="28" t="inlineStr">
        <is>
          <t>Looks like</t>
        </is>
      </c>
      <c r="D240" s="14" t="inlineStr">
        <is>
          <t>Holdings</t>
        </is>
      </c>
      <c r="E240" s="13" t="inlineStr">
        <is>
          <t>Fees %</t>
        </is>
      </c>
      <c r="F240" s="13" t="inlineStr">
        <is>
          <t>Cost basis</t>
        </is>
      </c>
      <c r="G240" s="13" t="inlineStr">
        <is>
          <t>Roth contributions basis</t>
        </is>
      </c>
      <c r="H240" s="13" t="inlineStr">
        <is>
          <t>HSA invested vs cash</t>
        </is>
      </c>
      <c r="I240" s="14" t="inlineStr">
        <is>
          <t>Beneficiary ▾</t>
        </is>
      </c>
    </row>
    <row r="241" ht="16" customHeight="1">
      <c r="B241" s="12" t="n"/>
      <c r="C241" s="28" t="inlineStr">
        <is>
          <t>Type</t>
        </is>
      </c>
      <c r="D241" s="29" t="inlineStr">
        <is>
          <t>Picker</t>
        </is>
      </c>
      <c r="E241" s="29" t="inlineStr">
        <is>
          <t>Field</t>
        </is>
      </c>
      <c r="F241" s="29" t="inlineStr">
        <is>
          <t>Field</t>
        </is>
      </c>
      <c r="G241" s="29" t="inlineStr">
        <is>
          <t>Field</t>
        </is>
      </c>
      <c r="H241" s="29" t="inlineStr">
        <is>
          <t>Field</t>
        </is>
      </c>
      <c r="I241" s="29" t="inlineStr">
        <is>
          <t>Dropdown</t>
        </is>
      </c>
    </row>
    <row r="242" ht="40" customHeight="1">
      <c r="B242" s="12" t="n"/>
      <c r="C242" s="28" t="inlineStr">
        <is>
          <t>What it does</t>
        </is>
      </c>
      <c r="D242" s="30" t="inlineStr">
        <is>
          <t>Tickers</t>
        </is>
      </c>
      <c r="E242" s="30" t="inlineStr">
        <is>
          <t>Expense ratio plus advisory fee</t>
        </is>
      </c>
      <c r="F242" s="30" t="inlineStr">
        <is>
          <t>Brokerage only</t>
        </is>
      </c>
      <c r="G242" s="30" t="inlineStr">
        <is>
          <t>Roth only</t>
        </is>
      </c>
      <c r="H242" s="30" t="inlineStr">
        <is>
          <t>HSA only</t>
        </is>
      </c>
      <c r="I242" s="30" t="inlineStr">
        <is>
          <t>Yes, no, not sure</t>
        </is>
      </c>
    </row>
    <row r="244">
      <c r="A244" s="25" t="inlineStr">
        <is>
          <t>Assets › Car</t>
        </is>
      </c>
      <c r="B244" s="26" t="n"/>
      <c r="C244" s="26" t="n"/>
      <c r="D244" s="26" t="n"/>
      <c r="E244" s="26" t="n"/>
      <c r="F244" s="26" t="n"/>
      <c r="G244" s="26" t="n"/>
      <c r="H244" s="26" t="n"/>
      <c r="I244" s="26" t="n"/>
      <c r="J244" s="26" t="n"/>
      <c r="K244" s="26" t="n"/>
      <c r="L244" s="26" t="n"/>
      <c r="M244" s="26" t="n"/>
      <c r="N244" s="26" t="n"/>
      <c r="O244" s="26" t="n"/>
    </row>
    <row r="245" ht="30" customHeight="1">
      <c r="B245" s="12" t="inlineStr">
        <is>
          <t>Primary</t>
        </is>
      </c>
      <c r="C245" s="28" t="inlineStr">
        <is>
          <t>Looks like</t>
        </is>
      </c>
      <c r="D245" s="13" t="inlineStr">
        <is>
          <t>Car name</t>
        </is>
      </c>
      <c r="E245" s="13" t="inlineStr">
        <is>
          <t>[ $ Value ]</t>
        </is>
      </c>
      <c r="F245" s="14" t="inlineStr">
        <is>
          <t>Paid off | Financed</t>
        </is>
      </c>
      <c r="G245" s="16" t="inlineStr">
        <is>
          <t>⧉</t>
        </is>
      </c>
      <c r="H245" s="16" t="inlineStr">
        <is>
          <t>↺</t>
        </is>
      </c>
      <c r="I245" s="16" t="inlineStr">
        <is>
          <t>🗑</t>
        </is>
      </c>
      <c r="J245" s="18" t="inlineStr">
        <is>
          <t>Status</t>
        </is>
      </c>
      <c r="K245" s="17" t="inlineStr">
        <is>
          <t>More ▸</t>
        </is>
      </c>
    </row>
    <row r="246" ht="16" customHeight="1">
      <c r="B246" s="12" t="n"/>
      <c r="C246" s="28" t="inlineStr">
        <is>
          <t>Type</t>
        </is>
      </c>
      <c r="D246" s="29" t="inlineStr">
        <is>
          <t>Field</t>
        </is>
      </c>
      <c r="E246" s="29" t="inlineStr">
        <is>
          <t>Field</t>
        </is>
      </c>
      <c r="F246" s="29" t="inlineStr">
        <is>
          <t>Toggle</t>
        </is>
      </c>
      <c r="G246" s="29" t="inlineStr">
        <is>
          <t>Icon button</t>
        </is>
      </c>
      <c r="H246" s="29" t="inlineStr">
        <is>
          <t>Icon button</t>
        </is>
      </c>
      <c r="I246" s="29" t="inlineStr">
        <is>
          <t>Icon button</t>
        </is>
      </c>
      <c r="J246" s="29" t="inlineStr">
        <is>
          <t>Status tag</t>
        </is>
      </c>
      <c r="K246" s="29" t="inlineStr">
        <is>
          <t>Caret</t>
        </is>
      </c>
    </row>
    <row r="247" ht="40" customHeight="1">
      <c r="B247" s="12" t="n"/>
      <c r="C247" s="28" t="inlineStr">
        <is>
          <t>What it does</t>
        </is>
      </c>
      <c r="D247" s="30" t="n"/>
      <c r="E247" s="30" t="n"/>
      <c r="F247" s="30" t="inlineStr">
        <is>
          <t>Financed opens loan boxes (same as Debt &gt; Car loan)</t>
        </is>
      </c>
      <c r="G247" s="30" t="inlineStr">
        <is>
          <t>Duplicate: copies this row, opens it for editing. Small icon, tooltip on hover</t>
        </is>
      </c>
      <c r="H247" s="30" t="inlineStr">
        <is>
          <t>Reset: clears this row back to blank, keeps the row. Small icon</t>
        </is>
      </c>
      <c r="I247" s="30" t="inlineStr">
        <is>
          <t>Delete: removes the row with an 'Undo' toast for 10 seconds. Small trash can</t>
        </is>
      </c>
      <c r="J247" s="30" t="inlineStr">
        <is>
          <t>Confidence for the whole row; each field can override</t>
        </is>
      </c>
      <c r="K247" s="30" t="inlineStr">
        <is>
          <t>Shows Secondary fields. Collapsed by default. Paid with sits at the top of it</t>
        </is>
      </c>
    </row>
    <row r="248" ht="30" customHeight="1">
      <c r="B248" s="12" t="inlineStr">
        <is>
          <t>Secondary</t>
        </is>
      </c>
      <c r="C248" s="28" t="inlineStr">
        <is>
          <t>Looks like</t>
        </is>
      </c>
      <c r="D248" s="13" t="inlineStr">
        <is>
          <t>Purchase price</t>
        </is>
      </c>
      <c r="E248" s="13" t="inlineStr">
        <is>
          <t>Loan balance / rate / payment</t>
        </is>
      </c>
    </row>
    <row r="249" ht="16" customHeight="1">
      <c r="B249" s="12" t="n"/>
      <c r="C249" s="28" t="inlineStr">
        <is>
          <t>Type</t>
        </is>
      </c>
      <c r="D249" s="29" t="inlineStr">
        <is>
          <t>Field</t>
        </is>
      </c>
      <c r="E249" s="29" t="inlineStr">
        <is>
          <t>Field</t>
        </is>
      </c>
    </row>
    <row r="250" ht="40" customHeight="1">
      <c r="B250" s="12" t="n"/>
      <c r="C250" s="28" t="inlineStr">
        <is>
          <t>What it does</t>
        </is>
      </c>
      <c r="D250" s="30" t="n"/>
      <c r="E250" s="30" t="inlineStr">
        <is>
          <t>Mirrors the debt row</t>
        </is>
      </c>
    </row>
    <row r="252">
      <c r="A252" s="25" t="inlineStr">
        <is>
          <t>Assets › Home</t>
        </is>
      </c>
      <c r="B252" s="26" t="n"/>
      <c r="C252" s="26" t="n"/>
      <c r="D252" s="26" t="n"/>
      <c r="E252" s="26" t="n"/>
      <c r="F252" s="26" t="n"/>
      <c r="G252" s="26" t="n"/>
      <c r="H252" s="26" t="n"/>
      <c r="I252" s="26" t="n"/>
      <c r="J252" s="26" t="n"/>
      <c r="K252" s="26" t="n"/>
      <c r="L252" s="26" t="n"/>
      <c r="M252" s="26" t="n"/>
      <c r="N252" s="26" t="n"/>
      <c r="O252" s="26" t="n"/>
    </row>
    <row r="253" ht="30" customHeight="1">
      <c r="B253" s="12" t="inlineStr">
        <is>
          <t>Primary</t>
        </is>
      </c>
      <c r="C253" s="28" t="inlineStr">
        <is>
          <t>Looks like</t>
        </is>
      </c>
      <c r="D253" s="13" t="inlineStr">
        <is>
          <t>[ $ Value ]</t>
        </is>
      </c>
      <c r="E253" s="13" t="inlineStr">
        <is>
          <t>[ $ Mortgage balance ]</t>
        </is>
      </c>
      <c r="F253" s="13" t="inlineStr">
        <is>
          <t>[ Rate % ]</t>
        </is>
      </c>
      <c r="G253" s="13" t="inlineStr">
        <is>
          <t>[ $ Payment ]</t>
        </is>
      </c>
      <c r="H253" s="19" t="inlineStr">
        <is>
          <t>Equity</t>
        </is>
      </c>
      <c r="I253" s="16" t="inlineStr">
        <is>
          <t>⧉</t>
        </is>
      </c>
      <c r="J253" s="16" t="inlineStr">
        <is>
          <t>↺</t>
        </is>
      </c>
      <c r="K253" s="16" t="inlineStr">
        <is>
          <t>🗑</t>
        </is>
      </c>
      <c r="L253" s="18" t="inlineStr">
        <is>
          <t>Status</t>
        </is>
      </c>
      <c r="M253" s="17" t="inlineStr">
        <is>
          <t>More ▸</t>
        </is>
      </c>
    </row>
    <row r="254" ht="16" customHeight="1">
      <c r="B254" s="12" t="n"/>
      <c r="C254" s="28" t="inlineStr">
        <is>
          <t>Type</t>
        </is>
      </c>
      <c r="D254" s="29" t="inlineStr">
        <is>
          <t>Field</t>
        </is>
      </c>
      <c r="E254" s="29" t="inlineStr">
        <is>
          <t>Field</t>
        </is>
      </c>
      <c r="F254" s="29" t="inlineStr">
        <is>
          <t>Field</t>
        </is>
      </c>
      <c r="G254" s="29" t="inlineStr">
        <is>
          <t>Field</t>
        </is>
      </c>
      <c r="H254" s="29" t="inlineStr">
        <is>
          <t>Computed</t>
        </is>
      </c>
      <c r="I254" s="29" t="inlineStr">
        <is>
          <t>Icon button</t>
        </is>
      </c>
      <c r="J254" s="29" t="inlineStr">
        <is>
          <t>Icon button</t>
        </is>
      </c>
      <c r="K254" s="29" t="inlineStr">
        <is>
          <t>Icon button</t>
        </is>
      </c>
      <c r="L254" s="29" t="inlineStr">
        <is>
          <t>Status tag</t>
        </is>
      </c>
      <c r="M254" s="29" t="inlineStr">
        <is>
          <t>Caret</t>
        </is>
      </c>
    </row>
    <row r="255" ht="40" customHeight="1">
      <c r="B255" s="12" t="n"/>
      <c r="C255" s="28" t="inlineStr">
        <is>
          <t>What it does</t>
        </is>
      </c>
      <c r="D255" s="30" t="n"/>
      <c r="E255" s="30" t="n"/>
      <c r="F255" s="30" t="n"/>
      <c r="G255" s="30" t="n"/>
      <c r="H255" s="30" t="n"/>
      <c r="I255" s="30" t="inlineStr">
        <is>
          <t>Duplicate: copies this row, opens it for editing. Small icon, tooltip on hover</t>
        </is>
      </c>
      <c r="J255" s="30" t="inlineStr">
        <is>
          <t>Reset: clears this row back to blank, keeps the row. Small icon</t>
        </is>
      </c>
      <c r="K255" s="30" t="inlineStr">
        <is>
          <t>Delete: removes the row with an 'Undo' toast for 10 seconds. Small trash can</t>
        </is>
      </c>
      <c r="L255" s="30" t="inlineStr">
        <is>
          <t>Confidence for the whole row; each field can override</t>
        </is>
      </c>
      <c r="M255" s="30" t="inlineStr">
        <is>
          <t>Shows Secondary fields. Collapsed by default. Paid with sits at the top of it</t>
        </is>
      </c>
    </row>
    <row r="256" ht="30" customHeight="1">
      <c r="B256" s="12" t="inlineStr">
        <is>
          <t>Secondary</t>
        </is>
      </c>
      <c r="C256" s="28" t="inlineStr">
        <is>
          <t>Looks like</t>
        </is>
      </c>
      <c r="D256" s="13" t="inlineStr">
        <is>
          <t>Property tax / insurance / HOA</t>
        </is>
      </c>
      <c r="E256" s="14" t="inlineStr">
        <is>
          <t>Fixed | Adjustable</t>
        </is>
      </c>
      <c r="F256" s="13" t="inlineStr">
        <is>
          <t>Years left</t>
        </is>
      </c>
    </row>
    <row r="257" ht="16" customHeight="1">
      <c r="B257" s="12" t="n"/>
      <c r="C257" s="28" t="inlineStr">
        <is>
          <t>Type</t>
        </is>
      </c>
      <c r="D257" s="29" t="inlineStr">
        <is>
          <t>Field</t>
        </is>
      </c>
      <c r="E257" s="29" t="inlineStr">
        <is>
          <t>Toggle</t>
        </is>
      </c>
      <c r="F257" s="29" t="inlineStr">
        <is>
          <t>Field</t>
        </is>
      </c>
    </row>
    <row r="258" ht="40" customHeight="1">
      <c r="B258" s="12" t="n"/>
      <c r="C258" s="28" t="inlineStr">
        <is>
          <t>What it does</t>
        </is>
      </c>
      <c r="D258" s="30" t="inlineStr">
        <is>
          <t>Three boxes</t>
        </is>
      </c>
      <c r="E258" s="30" t="n"/>
      <c r="F258" s="30" t="n"/>
    </row>
    <row r="260">
      <c r="A260" s="25" t="inlineStr">
        <is>
          <t>Assets › Section footer</t>
        </is>
      </c>
      <c r="B260" s="26" t="n"/>
      <c r="C260" s="26" t="n"/>
      <c r="D260" s="26" t="n"/>
      <c r="E260" s="26" t="n"/>
      <c r="F260" s="26" t="n"/>
      <c r="G260" s="26" t="n"/>
      <c r="H260" s="26" t="n"/>
      <c r="I260" s="26" t="n"/>
      <c r="J260" s="26" t="n"/>
      <c r="K260" s="26" t="n"/>
      <c r="L260" s="26" t="n"/>
      <c r="M260" s="26" t="n"/>
      <c r="N260" s="26" t="n"/>
      <c r="O260" s="26" t="n"/>
    </row>
    <row r="261" ht="30" customHeight="1">
      <c r="B261" s="12" t="inlineStr">
        <is>
          <t>Primary</t>
        </is>
      </c>
      <c r="C261" s="28" t="inlineStr">
        <is>
          <t>Looks like</t>
        </is>
      </c>
      <c r="D261" s="15" t="inlineStr">
        <is>
          <t>+ Add asset</t>
        </is>
      </c>
      <c r="E261" s="19" t="inlineStr">
        <is>
          <t>Liquid net worth</t>
        </is>
      </c>
      <c r="F261" s="19" t="inlineStr">
        <is>
          <t>Total net worth</t>
        </is>
      </c>
    </row>
    <row r="262" ht="16" customHeight="1">
      <c r="B262" s="12" t="n"/>
      <c r="C262" s="28" t="inlineStr">
        <is>
          <t>Type</t>
        </is>
      </c>
      <c r="D262" s="29" t="inlineStr">
        <is>
          <t>Button</t>
        </is>
      </c>
      <c r="E262" s="29" t="inlineStr">
        <is>
          <t>Computed</t>
        </is>
      </c>
      <c r="F262" s="29" t="inlineStr">
        <is>
          <t>Computed</t>
        </is>
      </c>
    </row>
    <row r="263" ht="40" customHeight="1">
      <c r="B263" s="12" t="n"/>
      <c r="C263" s="28" t="inlineStr">
        <is>
          <t>What it does</t>
        </is>
      </c>
      <c r="D263" s="30" t="inlineStr">
        <is>
          <t>Picker: cash, investment, car, home, money owed to you, Other (free-form)</t>
        </is>
      </c>
      <c r="E263" s="30" t="n"/>
      <c r="F263" s="30" t="n"/>
    </row>
    <row r="265">
      <c r="A265" s="25" t="inlineStr">
        <is>
          <t>Protection › Coverage row</t>
        </is>
      </c>
      <c r="B265" s="26" t="n"/>
      <c r="C265" s="26" t="n"/>
      <c r="D265" s="26" t="n"/>
      <c r="E265" s="26" t="n"/>
      <c r="F265" s="26" t="n"/>
      <c r="G265" s="26" t="n"/>
      <c r="H265" s="26" t="n"/>
      <c r="I265" s="26" t="n"/>
      <c r="J265" s="26" t="n"/>
      <c r="K265" s="26" t="n"/>
      <c r="L265" s="26" t="n"/>
      <c r="M265" s="26" t="n"/>
      <c r="N265" s="26" t="n"/>
      <c r="O265" s="26" t="n"/>
    </row>
    <row r="266" ht="30" customHeight="1">
      <c r="B266" s="12" t="inlineStr">
        <is>
          <t>Primary</t>
        </is>
      </c>
      <c r="C266" s="28" t="inlineStr">
        <is>
          <t>Looks like</t>
        </is>
      </c>
      <c r="D266" s="14" t="inlineStr">
        <is>
          <t>Type ▾</t>
        </is>
      </c>
      <c r="E266" s="14" t="inlineStr">
        <is>
          <t>Have it | Don't | Not sure</t>
        </is>
      </c>
      <c r="F266" s="13" t="inlineStr">
        <is>
          <t>Premium $ / mo</t>
        </is>
      </c>
      <c r="G266" s="16" t="inlineStr">
        <is>
          <t>⧉</t>
        </is>
      </c>
      <c r="H266" s="16" t="inlineStr">
        <is>
          <t>↺</t>
        </is>
      </c>
      <c r="I266" s="16" t="inlineStr">
        <is>
          <t>🗑</t>
        </is>
      </c>
      <c r="J266" s="18" t="inlineStr">
        <is>
          <t>Status</t>
        </is>
      </c>
      <c r="K266" s="17" t="inlineStr">
        <is>
          <t>More ▸</t>
        </is>
      </c>
    </row>
    <row r="267" ht="16" customHeight="1">
      <c r="B267" s="12" t="n"/>
      <c r="C267" s="28" t="inlineStr">
        <is>
          <t>Type</t>
        </is>
      </c>
      <c r="D267" s="29" t="inlineStr">
        <is>
          <t>Dropdown</t>
        </is>
      </c>
      <c r="E267" s="29" t="inlineStr">
        <is>
          <t>Toggle</t>
        </is>
      </c>
      <c r="F267" s="29" t="inlineStr">
        <is>
          <t>Field</t>
        </is>
      </c>
      <c r="G267" s="29" t="inlineStr">
        <is>
          <t>Icon button</t>
        </is>
      </c>
      <c r="H267" s="29" t="inlineStr">
        <is>
          <t>Icon button</t>
        </is>
      </c>
      <c r="I267" s="29" t="inlineStr">
        <is>
          <t>Icon button</t>
        </is>
      </c>
      <c r="J267" s="29" t="inlineStr">
        <is>
          <t>Status tag</t>
        </is>
      </c>
      <c r="K267" s="29" t="inlineStr">
        <is>
          <t>Caret</t>
        </is>
      </c>
    </row>
    <row r="268" ht="40" customHeight="1">
      <c r="B268" s="12" t="n"/>
      <c r="C268" s="28" t="inlineStr">
        <is>
          <t>What it does</t>
        </is>
      </c>
      <c r="D268" s="30" t="inlineStr">
        <is>
          <t>Health, life, disability, renters or home, car, umbrella</t>
        </is>
      </c>
      <c r="E268" s="30" t="inlineStr">
        <is>
          <t>Don't = gap to fill</t>
        </is>
      </c>
      <c r="F268" s="30" t="n"/>
      <c r="G268" s="30" t="inlineStr">
        <is>
          <t>Duplicate: copies this row, opens it for editing. Small icon, tooltip on hover</t>
        </is>
      </c>
      <c r="H268" s="30" t="inlineStr">
        <is>
          <t>Reset: clears this row back to blank, keeps the row. Small icon</t>
        </is>
      </c>
      <c r="I268" s="30" t="inlineStr">
        <is>
          <t>Delete: removes the row with an 'Undo' toast for 10 seconds. Small trash can</t>
        </is>
      </c>
      <c r="J268" s="30" t="inlineStr">
        <is>
          <t>Confidence for the whole row; each field can override</t>
        </is>
      </c>
      <c r="K268" s="30" t="inlineStr">
        <is>
          <t>Shows Secondary fields. Collapsed by default. Paid with sits at the top of it</t>
        </is>
      </c>
    </row>
    <row r="269" ht="30" customHeight="1">
      <c r="B269" s="12" t="inlineStr">
        <is>
          <t>Secondary</t>
        </is>
      </c>
      <c r="C269" s="28" t="inlineStr">
        <is>
          <t>Looks like</t>
        </is>
      </c>
      <c r="D269" s="13" t="inlineStr">
        <is>
          <t>Coverage amount</t>
        </is>
      </c>
      <c r="E269" s="14" t="inlineStr">
        <is>
          <t>Through employer?</t>
        </is>
      </c>
      <c r="F269" s="13" t="inlineStr">
        <is>
          <t>Deductible / out-of-pocket max</t>
        </is>
      </c>
    </row>
    <row r="270" ht="16" customHeight="1">
      <c r="B270" s="12" t="n"/>
      <c r="C270" s="28" t="inlineStr">
        <is>
          <t>Type</t>
        </is>
      </c>
      <c r="D270" s="29" t="inlineStr">
        <is>
          <t>Field</t>
        </is>
      </c>
      <c r="E270" s="29" t="inlineStr">
        <is>
          <t>Toggle</t>
        </is>
      </c>
      <c r="F270" s="29" t="inlineStr">
        <is>
          <t>Field</t>
        </is>
      </c>
    </row>
    <row r="271" ht="40" customHeight="1">
      <c r="B271" s="12" t="n"/>
      <c r="C271" s="28" t="inlineStr">
        <is>
          <t>What it does</t>
        </is>
      </c>
      <c r="D271" s="30" t="n"/>
      <c r="E271" s="30" t="inlineStr">
        <is>
          <t>Ends if the job ends</t>
        </is>
      </c>
      <c r="F271" s="30" t="inlineStr">
        <is>
          <t>Health only</t>
        </is>
      </c>
    </row>
    <row r="273">
      <c r="A273" s="25" t="inlineStr">
        <is>
          <t>Taxes › Filing</t>
        </is>
      </c>
      <c r="B273" s="26" t="n"/>
      <c r="C273" s="26" t="n"/>
      <c r="D273" s="26" t="n"/>
      <c r="E273" s="26" t="n"/>
      <c r="F273" s="26" t="n"/>
      <c r="G273" s="26" t="n"/>
      <c r="H273" s="26" t="n"/>
      <c r="I273" s="26" t="n"/>
      <c r="J273" s="26" t="n"/>
      <c r="K273" s="26" t="n"/>
      <c r="L273" s="26" t="n"/>
      <c r="M273" s="26" t="n"/>
      <c r="N273" s="26" t="n"/>
      <c r="O273" s="26" t="n"/>
    </row>
    <row r="274" ht="30" customHeight="1">
      <c r="B274" s="12" t="inlineStr">
        <is>
          <t>Primary</t>
        </is>
      </c>
      <c r="C274" s="28" t="inlineStr">
        <is>
          <t>Looks like</t>
        </is>
      </c>
      <c r="D274" s="14" t="inlineStr">
        <is>
          <t>Filing status ▾</t>
        </is>
      </c>
      <c r="E274" s="19" t="inlineStr">
        <is>
          <t>Effective rate</t>
        </is>
      </c>
      <c r="F274" s="19" t="inlineStr">
        <is>
          <t>Marginal bracket</t>
        </is>
      </c>
      <c r="G274" s="17" t="inlineStr">
        <is>
          <t>More ▸</t>
        </is>
      </c>
    </row>
    <row r="275" ht="16" customHeight="1">
      <c r="B275" s="12" t="n"/>
      <c r="C275" s="28" t="inlineStr">
        <is>
          <t>Type</t>
        </is>
      </c>
      <c r="D275" s="29" t="inlineStr">
        <is>
          <t>Dropdown</t>
        </is>
      </c>
      <c r="E275" s="29" t="inlineStr">
        <is>
          <t>Computed</t>
        </is>
      </c>
      <c r="F275" s="29" t="inlineStr">
        <is>
          <t>Computed</t>
        </is>
      </c>
      <c r="G275" s="29" t="inlineStr">
        <is>
          <t>Caret</t>
        </is>
      </c>
    </row>
    <row r="276" ht="40" customHeight="1">
      <c r="B276" s="12" t="n"/>
      <c r="C276" s="28" t="inlineStr">
        <is>
          <t>What it does</t>
        </is>
      </c>
      <c r="D276" s="30" t="inlineStr">
        <is>
          <t>Single, married joint, married separate, head of household</t>
        </is>
      </c>
      <c r="E276" s="30" t="inlineStr">
        <is>
          <t>Federal plus FICA</t>
        </is>
      </c>
      <c r="F276" s="30" t="n"/>
      <c r="G276" s="30" t="inlineStr">
        <is>
          <t>Shows Secondary fields. Collapsed by default. Paid with sits at the top of it</t>
        </is>
      </c>
    </row>
    <row r="277" ht="30" customHeight="1">
      <c r="B277" s="12" t="inlineStr">
        <is>
          <t>Secondary</t>
        </is>
      </c>
      <c r="C277" s="28" t="inlineStr">
        <is>
          <t>Looks like</t>
        </is>
      </c>
      <c r="D277" s="14" t="inlineStr">
        <is>
          <t>Last year refund | owed</t>
        </is>
      </c>
      <c r="E277" s="13" t="inlineStr">
        <is>
          <t>[ $ ]</t>
        </is>
      </c>
      <c r="F277" s="13" t="inlineStr">
        <is>
          <t>Quarterly estimates paid</t>
        </is>
      </c>
      <c r="G277" s="19" t="inlineStr">
        <is>
          <t>Self-employment tax</t>
        </is>
      </c>
    </row>
    <row r="278" ht="16" customHeight="1">
      <c r="B278" s="12" t="n"/>
      <c r="C278" s="28" t="inlineStr">
        <is>
          <t>Type</t>
        </is>
      </c>
      <c r="D278" s="29" t="inlineStr">
        <is>
          <t>Toggle</t>
        </is>
      </c>
      <c r="E278" s="29" t="inlineStr">
        <is>
          <t>Field</t>
        </is>
      </c>
      <c r="F278" s="29" t="inlineStr">
        <is>
          <t>Field</t>
        </is>
      </c>
      <c r="G278" s="29" t="inlineStr">
        <is>
          <t>Computed</t>
        </is>
      </c>
    </row>
    <row r="279" ht="40" customHeight="1">
      <c r="B279" s="12" t="n"/>
      <c r="C279" s="28" t="inlineStr">
        <is>
          <t>What it does</t>
        </is>
      </c>
      <c r="D279" s="30" t="n"/>
      <c r="E279" s="30" t="n"/>
      <c r="F279" s="30" t="inlineStr">
        <is>
          <t>1099 only</t>
        </is>
      </c>
      <c r="G279" s="30" t="inlineStr">
        <is>
          <t>1099 only</t>
        </is>
      </c>
    </row>
    <row r="281" ht="22" customHeight="1">
      <c r="A281" s="24" t="inlineStr">
        <is>
          <t>SPENDING</t>
        </is>
      </c>
      <c r="B281" s="6" t="n"/>
      <c r="C281" s="6" t="n"/>
      <c r="D281" s="6" t="n"/>
      <c r="E281" s="6" t="n"/>
      <c r="F281" s="6" t="n"/>
      <c r="G281" s="6" t="n"/>
      <c r="H281" s="6" t="n"/>
      <c r="I281" s="6" t="n"/>
      <c r="J281" s="6" t="n"/>
      <c r="K281" s="6" t="n"/>
      <c r="L281" s="6" t="n"/>
      <c r="M281" s="6" t="n"/>
      <c r="N281" s="6" t="n"/>
      <c r="O281" s="6" t="n"/>
    </row>
    <row r="282">
      <c r="A282" s="25" t="inlineStr">
        <is>
          <t>Sub-tabs › Sub-tab bar</t>
        </is>
      </c>
      <c r="B282" s="26" t="n"/>
      <c r="C282" s="26" t="n"/>
      <c r="D282" s="26" t="n"/>
      <c r="E282" s="26" t="n"/>
      <c r="F282" s="26" t="n"/>
      <c r="G282" s="26" t="n"/>
      <c r="H282" s="26" t="n"/>
      <c r="I282" s="26" t="n"/>
      <c r="J282" s="26" t="n"/>
      <c r="K282" s="26" t="n"/>
      <c r="L282" s="26" t="n"/>
      <c r="M282" s="26" t="n"/>
      <c r="N282" s="26" t="n"/>
      <c r="O282" s="26" t="n"/>
    </row>
    <row r="283" ht="30" customHeight="1">
      <c r="B283" s="12" t="inlineStr">
        <is>
          <t>Primary</t>
        </is>
      </c>
      <c r="C283" s="28" t="inlineStr">
        <is>
          <t>Looks like</t>
        </is>
      </c>
      <c r="D283" s="21" t="inlineStr">
        <is>
          <t>Budget</t>
        </is>
      </c>
      <c r="E283" s="21" t="inlineStr">
        <is>
          <t>Cash flow calendar</t>
        </is>
      </c>
      <c r="F283" s="21" t="inlineStr">
        <is>
          <t>Month-end close</t>
        </is>
      </c>
      <c r="G283" s="14" t="inlineStr">
        <is>
          <t>Period ▾</t>
        </is>
      </c>
      <c r="H283" s="14" t="inlineStr">
        <is>
          <t>Per paycheck view</t>
        </is>
      </c>
    </row>
    <row r="284" ht="16" customHeight="1">
      <c r="B284" s="12" t="n"/>
      <c r="C284" s="28" t="inlineStr">
        <is>
          <t>Type</t>
        </is>
      </c>
      <c r="D284" s="29" t="inlineStr">
        <is>
          <t>Tab</t>
        </is>
      </c>
      <c r="E284" s="29" t="inlineStr">
        <is>
          <t>Tab</t>
        </is>
      </c>
      <c r="F284" s="29" t="inlineStr">
        <is>
          <t>Tab</t>
        </is>
      </c>
      <c r="G284" s="29" t="inlineStr">
        <is>
          <t>Dropdown</t>
        </is>
      </c>
      <c r="H284" s="29" t="inlineStr">
        <is>
          <t>Toggle</t>
        </is>
      </c>
    </row>
    <row r="285" ht="40" customHeight="1">
      <c r="B285" s="12" t="n"/>
      <c r="C285" s="28" t="inlineStr">
        <is>
          <t>What it does</t>
        </is>
      </c>
      <c r="D285" s="30" t="n"/>
      <c r="E285" s="30" t="n"/>
      <c r="F285" s="30" t="n"/>
      <c r="G285" s="30" t="inlineStr">
        <is>
          <t>Monthly, 3 months, 6 months, annual</t>
        </is>
      </c>
      <c r="H285" s="30" t="inlineStr">
        <is>
          <t>Highlights 3-paycheck 'bonus' months</t>
        </is>
      </c>
    </row>
    <row r="287">
      <c r="A287" s="25" t="inlineStr">
        <is>
          <t>Budget › Header</t>
        </is>
      </c>
      <c r="B287" s="26" t="n"/>
      <c r="C287" s="26" t="n"/>
      <c r="D287" s="26" t="n"/>
      <c r="E287" s="26" t="n"/>
      <c r="F287" s="26" t="n"/>
      <c r="G287" s="26" t="n"/>
      <c r="H287" s="26" t="n"/>
      <c r="I287" s="26" t="n"/>
      <c r="J287" s="26" t="n"/>
      <c r="K287" s="26" t="n"/>
      <c r="L287" s="26" t="n"/>
      <c r="M287" s="26" t="n"/>
      <c r="N287" s="26" t="n"/>
      <c r="O287" s="26" t="n"/>
    </row>
    <row r="288" ht="30" customHeight="1">
      <c r="B288" s="12" t="inlineStr">
        <is>
          <t>Primary</t>
        </is>
      </c>
      <c r="C288" s="28" t="inlineStr">
        <is>
          <t>Looks like</t>
        </is>
      </c>
      <c r="D288" s="13" t="inlineStr">
        <is>
          <t>Gut total $</t>
        </is>
      </c>
      <c r="E288" s="14" t="inlineStr">
        <is>
          <t>Pass: Gut | Basics | Rough | Actual</t>
        </is>
      </c>
      <c r="F288" s="19" t="inlineStr">
        <is>
          <t>Estimate vs actual</t>
        </is>
      </c>
      <c r="G288" s="15" t="inlineStr">
        <is>
          <t>+ Add line</t>
        </is>
      </c>
    </row>
    <row r="289" ht="16" customHeight="1">
      <c r="B289" s="12" t="n"/>
      <c r="C289" s="28" t="inlineStr">
        <is>
          <t>Type</t>
        </is>
      </c>
      <c r="D289" s="29" t="inlineStr">
        <is>
          <t>Field</t>
        </is>
      </c>
      <c r="E289" s="29" t="inlineStr">
        <is>
          <t>Toggle</t>
        </is>
      </c>
      <c r="F289" s="29" t="inlineStr">
        <is>
          <t>Computed</t>
        </is>
      </c>
      <c r="G289" s="29" t="inlineStr">
        <is>
          <t>Button</t>
        </is>
      </c>
    </row>
    <row r="290" ht="40" customHeight="1">
      <c r="B290" s="12" t="n"/>
      <c r="C290" s="28" t="inlineStr">
        <is>
          <t>What it does</t>
        </is>
      </c>
      <c r="D290" s="30" t="inlineStr">
        <is>
          <t>One number, first pass</t>
        </is>
      </c>
      <c r="E290" s="30" t="inlineStr">
        <is>
          <t>Which pass you're filling</t>
        </is>
      </c>
      <c r="F290" s="30" t="inlineStr">
        <is>
          <t>Difference, colored but never red</t>
        </is>
      </c>
      <c r="G290" s="30" t="inlineStr">
        <is>
          <t>Category picker</t>
        </is>
      </c>
    </row>
    <row r="291" ht="30" customHeight="1">
      <c r="B291" s="12" t="inlineStr">
        <is>
          <t>Secondary</t>
        </is>
      </c>
      <c r="C291" s="28" t="inlineStr">
        <is>
          <t>Looks like</t>
        </is>
      </c>
      <c r="D291" s="14" t="inlineStr">
        <is>
          <t>Group by: DRAFTT | Category</t>
        </is>
      </c>
      <c r="E291" s="16" t="inlineStr">
        <is>
          <t>Reset passes</t>
        </is>
      </c>
    </row>
    <row r="292" ht="16" customHeight="1">
      <c r="B292" s="12" t="n"/>
      <c r="C292" s="28" t="inlineStr">
        <is>
          <t>Type</t>
        </is>
      </c>
      <c r="D292" s="29" t="inlineStr">
        <is>
          <t>Toggle</t>
        </is>
      </c>
      <c r="E292" s="29" t="inlineStr">
        <is>
          <t>Icon button</t>
        </is>
      </c>
    </row>
    <row r="293" ht="40" customHeight="1">
      <c r="B293" s="12" t="n"/>
      <c r="C293" s="28" t="inlineStr">
        <is>
          <t>What it does</t>
        </is>
      </c>
      <c r="D293" s="30" t="n"/>
      <c r="E293" s="30" t="inlineStr">
        <is>
          <t>Clears one pass after confirm</t>
        </is>
      </c>
    </row>
    <row r="295">
      <c r="A295" s="25" t="inlineStr">
        <is>
          <t>Budget › Bulk select bar</t>
        </is>
      </c>
      <c r="B295" s="26" t="n"/>
      <c r="C295" s="26" t="n"/>
      <c r="D295" s="26" t="n"/>
      <c r="E295" s="26" t="n"/>
      <c r="F295" s="26" t="n"/>
      <c r="G295" s="26" t="n"/>
      <c r="H295" s="26" t="n"/>
      <c r="I295" s="26" t="n"/>
      <c r="J295" s="26" t="n"/>
      <c r="K295" s="26" t="n"/>
      <c r="L295" s="26" t="n"/>
      <c r="M295" s="26" t="n"/>
      <c r="N295" s="26" t="n"/>
      <c r="O295" s="27" t="inlineStr">
        <is>
          <t>Your message: multi-select like bills, and link to a card directly. Same bar on every multi-item list</t>
        </is>
      </c>
    </row>
    <row r="296" ht="30" customHeight="1">
      <c r="B296" s="12" t="inlineStr">
        <is>
          <t>Primary</t>
        </is>
      </c>
      <c r="C296" s="28" t="inlineStr">
        <is>
          <t>Looks like</t>
        </is>
      </c>
      <c r="D296" s="14" t="inlineStr">
        <is>
          <t>☐ Select all</t>
        </is>
      </c>
      <c r="E296" s="19" t="inlineStr">
        <is>
          <t>5 selected</t>
        </is>
      </c>
      <c r="F296" s="16" t="inlineStr">
        <is>
          <t>⧉</t>
        </is>
      </c>
      <c r="G296" s="16" t="inlineStr">
        <is>
          <t>↺</t>
        </is>
      </c>
      <c r="H296" s="16" t="inlineStr">
        <is>
          <t>🗑</t>
        </is>
      </c>
      <c r="I296" s="14" t="inlineStr">
        <is>
          <t>Set status ▾</t>
        </is>
      </c>
      <c r="J296" s="14" t="inlineStr">
        <is>
          <t>Link to card ▾</t>
        </is>
      </c>
      <c r="K296" s="16" t="inlineStr">
        <is>
          <t>✕</t>
        </is>
      </c>
    </row>
    <row r="297" ht="16" customHeight="1">
      <c r="B297" s="12" t="n"/>
      <c r="C297" s="28" t="inlineStr">
        <is>
          <t>Type</t>
        </is>
      </c>
      <c r="D297" s="29" t="inlineStr">
        <is>
          <t>Toggle</t>
        </is>
      </c>
      <c r="E297" s="29" t="inlineStr">
        <is>
          <t>Computed</t>
        </is>
      </c>
      <c r="F297" s="29" t="inlineStr">
        <is>
          <t>Icon button</t>
        </is>
      </c>
      <c r="G297" s="29" t="inlineStr">
        <is>
          <t>Icon button</t>
        </is>
      </c>
      <c r="H297" s="29" t="inlineStr">
        <is>
          <t>Icon button</t>
        </is>
      </c>
      <c r="I297" s="29" t="inlineStr">
        <is>
          <t>Dropdown</t>
        </is>
      </c>
      <c r="J297" s="29" t="inlineStr">
        <is>
          <t>Dropdown</t>
        </is>
      </c>
      <c r="K297" s="29" t="inlineStr">
        <is>
          <t>Icon button</t>
        </is>
      </c>
    </row>
    <row r="298" ht="40" customHeight="1">
      <c r="B298" s="12" t="n"/>
      <c r="C298" s="28" t="inlineStr">
        <is>
          <t>What it does</t>
        </is>
      </c>
      <c r="D298" s="30" t="inlineStr">
        <is>
          <t>Header checkbox; each row also has its own on the far left</t>
        </is>
      </c>
      <c r="E298" s="30" t="inlineStr">
        <is>
          <t>Bar only appears when something is checked</t>
        </is>
      </c>
      <c r="F298" s="30" t="inlineStr">
        <is>
          <t>Duplicate all selected</t>
        </is>
      </c>
      <c r="G298" s="30" t="inlineStr">
        <is>
          <t>Reset all selected</t>
        </is>
      </c>
      <c r="H298" s="30" t="inlineStr">
        <is>
          <t>Delete all selected; one undo toast</t>
        </is>
      </c>
      <c r="I298" s="30" t="inlineStr">
        <is>
          <t>One status for all selected</t>
        </is>
      </c>
      <c r="J298" s="30" t="inlineStr">
        <is>
          <t>Card buttons if 4 or fewer, picker if more</t>
        </is>
      </c>
      <c r="K298" s="30" t="inlineStr">
        <is>
          <t>Clear selection</t>
        </is>
      </c>
    </row>
    <row r="300">
      <c r="A300" s="25" t="inlineStr">
        <is>
          <t>Budget › Budget line</t>
        </is>
      </c>
      <c r="B300" s="26" t="n"/>
      <c r="C300" s="26" t="n"/>
      <c r="D300" s="26" t="n"/>
      <c r="E300" s="26" t="n"/>
      <c r="F300" s="26" t="n"/>
      <c r="G300" s="26" t="n"/>
      <c r="H300" s="26" t="n"/>
      <c r="I300" s="26" t="n"/>
      <c r="J300" s="26" t="n"/>
      <c r="K300" s="26" t="n"/>
      <c r="L300" s="26" t="n"/>
      <c r="M300" s="26" t="n"/>
      <c r="N300" s="26" t="n"/>
      <c r="O300" s="26" t="n"/>
    </row>
    <row r="301" ht="30" customHeight="1">
      <c r="B301" s="12" t="inlineStr">
        <is>
          <t>Primary</t>
        </is>
      </c>
      <c r="C301" s="28" t="inlineStr">
        <is>
          <t>Looks like</t>
        </is>
      </c>
      <c r="D301" s="14" t="inlineStr">
        <is>
          <t>☐</t>
        </is>
      </c>
      <c r="E301" s="14" t="inlineStr">
        <is>
          <t>Category ▾</t>
        </is>
      </c>
      <c r="F301" s="13" t="inlineStr">
        <is>
          <t>[ $ Estimate ]</t>
        </is>
      </c>
      <c r="G301" s="14" t="inlineStr">
        <is>
          <t>Weekly | Monthly | Yearly | One-off</t>
        </is>
      </c>
      <c r="H301" s="19" t="inlineStr">
        <is>
          <t>Actual (from calendar)</t>
        </is>
      </c>
      <c r="I301" s="19" t="inlineStr">
        <is>
          <t>Difference</t>
        </is>
      </c>
      <c r="J301" s="16" t="inlineStr">
        <is>
          <t>⧉</t>
        </is>
      </c>
      <c r="K301" s="16" t="inlineStr">
        <is>
          <t>↺</t>
        </is>
      </c>
      <c r="L301" s="16" t="inlineStr">
        <is>
          <t>🗑</t>
        </is>
      </c>
      <c r="M301" s="18" t="inlineStr">
        <is>
          <t>Status</t>
        </is>
      </c>
      <c r="N301" s="17" t="inlineStr">
        <is>
          <t>More ▸</t>
        </is>
      </c>
    </row>
    <row r="302" ht="16" customHeight="1">
      <c r="B302" s="12" t="n"/>
      <c r="C302" s="28" t="inlineStr">
        <is>
          <t>Type</t>
        </is>
      </c>
      <c r="D302" s="29" t="inlineStr">
        <is>
          <t>Toggle</t>
        </is>
      </c>
      <c r="E302" s="29" t="inlineStr">
        <is>
          <t>Picker</t>
        </is>
      </c>
      <c r="F302" s="29" t="inlineStr">
        <is>
          <t>Field</t>
        </is>
      </c>
      <c r="G302" s="29" t="inlineStr">
        <is>
          <t>Toggle</t>
        </is>
      </c>
      <c r="H302" s="29" t="inlineStr">
        <is>
          <t>Computed</t>
        </is>
      </c>
      <c r="I302" s="29" t="inlineStr">
        <is>
          <t>Computed</t>
        </is>
      </c>
      <c r="J302" s="29" t="inlineStr">
        <is>
          <t>Icon button</t>
        </is>
      </c>
      <c r="K302" s="29" t="inlineStr">
        <is>
          <t>Icon button</t>
        </is>
      </c>
      <c r="L302" s="29" t="inlineStr">
        <is>
          <t>Icon button</t>
        </is>
      </c>
      <c r="M302" s="29" t="inlineStr">
        <is>
          <t>Status tag</t>
        </is>
      </c>
      <c r="N302" s="29" t="inlineStr">
        <is>
          <t>Caret</t>
        </is>
      </c>
    </row>
    <row r="303" ht="40" customHeight="1">
      <c r="B303" s="12" t="n"/>
      <c r="C303" s="28" t="inlineStr">
        <is>
          <t>What it does</t>
        </is>
      </c>
      <c r="D303" s="30" t="inlineStr">
        <is>
          <t>Select for bulk actions</t>
        </is>
      </c>
      <c r="E303" s="30" t="inlineStr">
        <is>
          <t>Rent, groceries, gas, wants, money to family, Other (free-form)…</t>
        </is>
      </c>
      <c r="F303" s="30" t="n"/>
      <c r="G303" s="30" t="n"/>
      <c r="H303" s="30" t="inlineStr">
        <is>
          <t>Prefilled from cash flow log</t>
        </is>
      </c>
      <c r="I303" s="30" t="n"/>
      <c r="J303" s="30" t="inlineStr">
        <is>
          <t>Duplicate: copies this row, opens it for editing. Small icon, tooltip on hover</t>
        </is>
      </c>
      <c r="K303" s="30" t="inlineStr">
        <is>
          <t>Reset: clears this row back to blank, keeps the row. Small icon</t>
        </is>
      </c>
      <c r="L303" s="30" t="inlineStr">
        <is>
          <t>Delete: removes the row with an 'Undo' toast for 10 seconds. Small trash can</t>
        </is>
      </c>
      <c r="M303" s="30" t="inlineStr">
        <is>
          <t>Confidence for the whole row; each field can override</t>
        </is>
      </c>
      <c r="N303" s="30" t="inlineStr">
        <is>
          <t>Shows Secondary fields. Collapsed by default. Paid with sits at the top of it</t>
        </is>
      </c>
    </row>
    <row r="304" ht="30" customHeight="1">
      <c r="B304" s="12" t="inlineStr">
        <is>
          <t>Secondary</t>
        </is>
      </c>
      <c r="C304" s="28" t="inlineStr">
        <is>
          <t>Looks like</t>
        </is>
      </c>
      <c r="D304" s="14" t="inlineStr">
        <is>
          <t>Who pays ▾</t>
        </is>
      </c>
      <c r="E304" s="14" t="inlineStr">
        <is>
          <t>Covered by ▾</t>
        </is>
      </c>
      <c r="F304" s="13" t="inlineStr">
        <is>
          <t>They cover $ or %</t>
        </is>
      </c>
      <c r="G304" s="14" t="inlineStr">
        <is>
          <t>Split by</t>
        </is>
      </c>
      <c r="H304" s="13" t="inlineStr">
        <is>
          <t>Or my share $</t>
        </is>
      </c>
      <c r="I304" s="14" t="inlineStr">
        <is>
          <t>N/A</t>
        </is>
      </c>
      <c r="J304" s="15" t="inlineStr">
        <is>
          <t>Should have, don't yet</t>
        </is>
      </c>
      <c r="K304" s="14" t="inlineStr">
        <is>
          <t>Happiness ★1-5</t>
        </is>
      </c>
      <c r="L304" s="19" t="inlineStr">
        <is>
          <t>% of income</t>
        </is>
      </c>
      <c r="M304" s="19" t="inlineStr">
        <is>
          <t>% of spending</t>
        </is>
      </c>
      <c r="N304" s="19" t="inlineStr">
        <is>
          <t>DRAFTT letter</t>
        </is>
      </c>
    </row>
    <row r="305" ht="16" customHeight="1">
      <c r="B305" s="12" t="n"/>
      <c r="C305" s="28" t="inlineStr">
        <is>
          <t>Type</t>
        </is>
      </c>
      <c r="D305" s="29" t="inlineStr">
        <is>
          <t>Dropdown</t>
        </is>
      </c>
      <c r="E305" s="29" t="inlineStr">
        <is>
          <t>Dropdown</t>
        </is>
      </c>
      <c r="F305" s="29" t="inlineStr">
        <is>
          <t>Field</t>
        </is>
      </c>
      <c r="G305" s="29" t="inlineStr">
        <is>
          <t>Stepper</t>
        </is>
      </c>
      <c r="H305" s="29" t="inlineStr">
        <is>
          <t>Field</t>
        </is>
      </c>
      <c r="I305" s="29" t="inlineStr">
        <is>
          <t>Toggle</t>
        </is>
      </c>
      <c r="J305" s="29" t="inlineStr">
        <is>
          <t>Button</t>
        </is>
      </c>
      <c r="K305" s="29" t="inlineStr">
        <is>
          <t>Stepper</t>
        </is>
      </c>
      <c r="L305" s="29" t="inlineStr">
        <is>
          <t>Computed</t>
        </is>
      </c>
      <c r="M305" s="29" t="inlineStr">
        <is>
          <t>Computed</t>
        </is>
      </c>
      <c r="N305" s="29" t="inlineStr">
        <is>
          <t>Computed</t>
        </is>
      </c>
    </row>
    <row r="306" ht="40" customHeight="1">
      <c r="B306" s="12" t="n"/>
      <c r="C306" s="28" t="inlineStr">
        <is>
          <t>What it does</t>
        </is>
      </c>
      <c r="D306" s="30" t="inlineStr">
        <is>
          <t>Me, split, included in rent, covered by someone, N/A</t>
        </is>
      </c>
      <c r="E306" s="30" t="inlineStr">
        <is>
          <t>Parents, partner, roommate, employer, insurance, other</t>
        </is>
      </c>
      <c r="F306" s="30" t="inlineStr">
        <is>
          <t>Adds to Support received total</t>
        </is>
      </c>
      <c r="G306" s="30" t="inlineStr">
        <is>
          <t>Defaults to roommate count</t>
        </is>
      </c>
      <c r="H306" s="30" t="inlineStr">
        <is>
          <t>Skip the math, just what you pay</t>
        </is>
      </c>
      <c r="I306" s="30" t="inlineStr">
        <is>
          <t>Doesn't apply, counts as done</t>
        </is>
      </c>
      <c r="J306" s="30" t="inlineStr">
        <is>
          <t>Gap to fill, like renters insurance; goes on the to-do list</t>
        </is>
      </c>
      <c r="K306" s="30" t="inlineStr">
        <is>
          <t>Joy per dollar</t>
        </is>
      </c>
      <c r="L306" s="30" t="n"/>
      <c r="M306" s="30" t="n"/>
      <c r="N306" s="30" t="inlineStr">
        <is>
          <t>From category</t>
        </is>
      </c>
    </row>
    <row r="307" ht="30" customHeight="1">
      <c r="B307" s="12" t="inlineStr">
        <is>
          <t>Tertiary</t>
        </is>
      </c>
      <c r="C307" s="28" t="inlineStr">
        <is>
          <t>Looks like</t>
        </is>
      </c>
      <c r="D307" s="13" t="inlineStr">
        <is>
          <t>Reimbursed $</t>
        </is>
      </c>
      <c r="E307" s="14" t="inlineStr">
        <is>
          <t>Need | Want</t>
        </is>
      </c>
      <c r="F307" s="14" t="inlineStr">
        <is>
          <t>Unavoidable | Mistake</t>
        </is>
      </c>
      <c r="G307" s="14" t="inlineStr">
        <is>
          <t>Priority served ▾</t>
        </is>
      </c>
    </row>
    <row r="308" ht="16" customHeight="1">
      <c r="B308" s="12" t="n"/>
      <c r="C308" s="28" t="inlineStr">
        <is>
          <t>Type</t>
        </is>
      </c>
      <c r="D308" s="29" t="inlineStr">
        <is>
          <t>Field</t>
        </is>
      </c>
      <c r="E308" s="29" t="inlineStr">
        <is>
          <t>Toggle</t>
        </is>
      </c>
      <c r="F308" s="29" t="inlineStr">
        <is>
          <t>Toggle</t>
        </is>
      </c>
      <c r="G308" s="29" t="inlineStr">
        <is>
          <t>Dropdown</t>
        </is>
      </c>
    </row>
    <row r="309" ht="40" customHeight="1">
      <c r="B309" s="12" t="n"/>
      <c r="C309" s="28" t="inlineStr">
        <is>
          <t>What it does</t>
        </is>
      </c>
      <c r="D309" s="30" t="inlineStr">
        <is>
          <t>Therapy, medical, work costs that come back</t>
        </is>
      </c>
      <c r="E309" s="30" t="inlineStr">
        <is>
          <t>Later pass</t>
        </is>
      </c>
      <c r="F309" s="30" t="inlineStr">
        <is>
          <t>Later</t>
        </is>
      </c>
      <c r="G309" s="30" t="inlineStr">
        <is>
          <t>Later</t>
        </is>
      </c>
    </row>
    <row r="311">
      <c r="A311" s="25" t="inlineStr">
        <is>
          <t>Budget › Line gates</t>
        </is>
      </c>
      <c r="B311" s="26" t="n"/>
      <c r="C311" s="26" t="n"/>
      <c r="D311" s="26" t="n"/>
      <c r="E311" s="26" t="n"/>
      <c r="F311" s="26" t="n"/>
      <c r="G311" s="26" t="n"/>
      <c r="H311" s="26" t="n"/>
      <c r="I311" s="26" t="n"/>
      <c r="J311" s="26" t="n"/>
      <c r="K311" s="26" t="n"/>
      <c r="L311" s="26" t="n"/>
      <c r="M311" s="26" t="n"/>
      <c r="N311" s="26" t="n"/>
      <c r="O311" s="27" t="inlineStr">
        <is>
          <t>Your Fields-tab comments: car gate, kids and pets built out</t>
        </is>
      </c>
    </row>
    <row r="312" ht="30" customHeight="1">
      <c r="B312" s="12" t="inlineStr">
        <is>
          <t>Primary</t>
        </is>
      </c>
      <c r="C312" s="28" t="inlineStr">
        <is>
          <t>Looks like</t>
        </is>
      </c>
      <c r="D312" s="20" t="inlineStr">
        <is>
          <t>Car lines</t>
        </is>
      </c>
      <c r="E312" s="20" t="inlineStr">
        <is>
          <t>Kids lines</t>
        </is>
      </c>
      <c r="F312" s="20" t="inlineStr">
        <is>
          <t>Pet lines</t>
        </is>
      </c>
      <c r="G312" s="20" t="inlineStr">
        <is>
          <t>HSA/FSA</t>
        </is>
      </c>
    </row>
    <row r="313" ht="16" customHeight="1">
      <c r="B313" s="12" t="n"/>
      <c r="C313" s="28" t="inlineStr">
        <is>
          <t>Type</t>
        </is>
      </c>
      <c r="D313" s="29" t="inlineStr">
        <is>
          <t>Label</t>
        </is>
      </c>
      <c r="E313" s="29" t="inlineStr">
        <is>
          <t>Label</t>
        </is>
      </c>
      <c r="F313" s="29" t="inlineStr">
        <is>
          <t>Label</t>
        </is>
      </c>
      <c r="G313" s="29" t="inlineStr">
        <is>
          <t>Label</t>
        </is>
      </c>
    </row>
    <row r="314" ht="40" customHeight="1">
      <c r="B314" s="12" t="n"/>
      <c r="C314" s="28" t="inlineStr">
        <is>
          <t>What it does</t>
        </is>
      </c>
      <c r="D314" s="30" t="inlineStr">
        <is>
          <t>Insurance, gas, maintenance, registration, tolls, parking, car wash: only with a car</t>
        </is>
      </c>
      <c r="E314" s="30" t="inlineStr">
        <is>
          <t>Childcare, supplies, clothes, tuition, activities, medical, toys, allowance, 529: only with dependents</t>
        </is>
      </c>
      <c r="F314" s="30" t="inlineStr">
        <is>
          <t>Food, vet, insurance, meds, grooming, boarding, supplies: only with pets</t>
        </is>
      </c>
      <c r="G314" s="30" t="inlineStr">
        <is>
          <t>Only when health coverage confirms it</t>
        </is>
      </c>
    </row>
    <row r="316">
      <c r="A316" s="25" t="inlineStr">
        <is>
          <t>Budget › Irregular and yearly costs</t>
        </is>
      </c>
      <c r="B316" s="26" t="n"/>
      <c r="C316" s="26" t="n"/>
      <c r="D316" s="26" t="n"/>
      <c r="E316" s="26" t="n"/>
      <c r="F316" s="26" t="n"/>
      <c r="G316" s="26" t="n"/>
      <c r="H316" s="26" t="n"/>
      <c r="I316" s="26" t="n"/>
      <c r="J316" s="26" t="n"/>
      <c r="K316" s="26" t="n"/>
      <c r="L316" s="26" t="n"/>
      <c r="M316" s="26" t="n"/>
      <c r="N316" s="26" t="n"/>
      <c r="O316" s="26" t="n"/>
    </row>
    <row r="317" ht="30" customHeight="1">
      <c r="B317" s="12" t="inlineStr">
        <is>
          <t>Primary</t>
        </is>
      </c>
      <c r="C317" s="28" t="inlineStr">
        <is>
          <t>Looks like</t>
        </is>
      </c>
      <c r="D317" s="15" t="inlineStr">
        <is>
          <t>Walk the list</t>
        </is>
      </c>
      <c r="E317" s="13" t="inlineStr">
        <is>
          <t>[ $ Yearly ]</t>
        </is>
      </c>
      <c r="F317" s="14" t="inlineStr">
        <is>
          <t>Month due</t>
        </is>
      </c>
      <c r="G317" s="19" t="inlineStr">
        <is>
          <t>Per month to set aside</t>
        </is>
      </c>
      <c r="H317" s="16" t="inlineStr">
        <is>
          <t>⧉</t>
        </is>
      </c>
      <c r="I317" s="16" t="inlineStr">
        <is>
          <t>↺</t>
        </is>
      </c>
      <c r="J317" s="16" t="inlineStr">
        <is>
          <t>🗑</t>
        </is>
      </c>
      <c r="K317" s="18" t="inlineStr">
        <is>
          <t>Status</t>
        </is>
      </c>
    </row>
    <row r="318" ht="16" customHeight="1">
      <c r="B318" s="12" t="n"/>
      <c r="C318" s="28" t="inlineStr">
        <is>
          <t>Type</t>
        </is>
      </c>
      <c r="D318" s="29" t="inlineStr">
        <is>
          <t>Button</t>
        </is>
      </c>
      <c r="E318" s="29" t="inlineStr">
        <is>
          <t>Field</t>
        </is>
      </c>
      <c r="F318" s="29" t="inlineStr">
        <is>
          <t>Picker</t>
        </is>
      </c>
      <c r="G318" s="29" t="inlineStr">
        <is>
          <t>Computed</t>
        </is>
      </c>
      <c r="H318" s="29" t="inlineStr">
        <is>
          <t>Icon button</t>
        </is>
      </c>
      <c r="I318" s="29" t="inlineStr">
        <is>
          <t>Icon button</t>
        </is>
      </c>
      <c r="J318" s="29" t="inlineStr">
        <is>
          <t>Icon button</t>
        </is>
      </c>
      <c r="K318" s="29" t="inlineStr">
        <is>
          <t>Status tag</t>
        </is>
      </c>
    </row>
    <row r="319" ht="40" customHeight="1">
      <c r="B319" s="12" t="n"/>
      <c r="C319" s="28" t="inlineStr">
        <is>
          <t>What it does</t>
        </is>
      </c>
      <c r="D319" s="30" t="inlineStr">
        <is>
          <t>Asks one at a time: car registration, holidays, birthdays, renewals, vet, travel, annual subscriptions, tax prep</t>
        </is>
      </c>
      <c r="E319" s="30" t="n"/>
      <c r="F319" s="30" t="inlineStr">
        <is>
          <t>Lands on the calendar</t>
        </is>
      </c>
      <c r="G319" s="30" t="inlineStr">
        <is>
          <t>Yearly / 12</t>
        </is>
      </c>
      <c r="H319" s="30" t="inlineStr">
        <is>
          <t>Duplicate: copies this row, opens it for editing. Small icon, tooltip on hover</t>
        </is>
      </c>
      <c r="I319" s="30" t="inlineStr">
        <is>
          <t>Reset: clears this row back to blank, keeps the row. Small icon</t>
        </is>
      </c>
      <c r="J319" s="30" t="inlineStr">
        <is>
          <t>Delete: removes the row with an 'Undo' toast for 10 seconds. Small trash can</t>
        </is>
      </c>
      <c r="K319" s="30" t="inlineStr">
        <is>
          <t>Confidence for the whole row; each field can override</t>
        </is>
      </c>
    </row>
    <row r="320" ht="30" customHeight="1">
      <c r="B320" s="12" t="inlineStr">
        <is>
          <t>Secondary</t>
        </is>
      </c>
      <c r="C320" s="28" t="inlineStr">
        <is>
          <t>Looks like</t>
        </is>
      </c>
      <c r="D320" s="14" t="inlineStr">
        <is>
          <t>Sinking fund ▾</t>
        </is>
      </c>
    </row>
    <row r="321" ht="16" customHeight="1">
      <c r="B321" s="12" t="n"/>
      <c r="C321" s="28" t="inlineStr">
        <is>
          <t>Type</t>
        </is>
      </c>
      <c r="D321" s="29" t="inlineStr">
        <is>
          <t>Dropdown</t>
        </is>
      </c>
    </row>
    <row r="322" ht="40" customHeight="1">
      <c r="B322" s="12" t="n"/>
      <c r="C322" s="28" t="inlineStr">
        <is>
          <t>What it does</t>
        </is>
      </c>
      <c r="D322" s="30" t="inlineStr">
        <is>
          <t>Which savings account holds it</t>
        </is>
      </c>
    </row>
    <row r="324">
      <c r="A324" s="25" t="inlineStr">
        <is>
          <t>Cash flow calendar › Calendar header</t>
        </is>
      </c>
      <c r="B324" s="26" t="n"/>
      <c r="C324" s="26" t="n"/>
      <c r="D324" s="26" t="n"/>
      <c r="E324" s="26" t="n"/>
      <c r="F324" s="26" t="n"/>
      <c r="G324" s="26" t="n"/>
      <c r="H324" s="26" t="n"/>
      <c r="I324" s="26" t="n"/>
      <c r="J324" s="26" t="n"/>
      <c r="K324" s="26" t="n"/>
      <c r="L324" s="26" t="n"/>
      <c r="M324" s="26" t="n"/>
      <c r="N324" s="26" t="n"/>
      <c r="O324" s="27" t="inlineStr">
        <is>
          <t>Your comments: maybe money, and dates for good things</t>
        </is>
      </c>
    </row>
    <row r="325" ht="30" customHeight="1">
      <c r="B325" s="12" t="inlineStr">
        <is>
          <t>Primary</t>
        </is>
      </c>
      <c r="C325" s="28" t="inlineStr">
        <is>
          <t>Looks like</t>
        </is>
      </c>
      <c r="D325" s="16" t="inlineStr">
        <is>
          <t>◀</t>
        </is>
      </c>
      <c r="E325" s="20" t="inlineStr">
        <is>
          <t>November 2026</t>
        </is>
      </c>
      <c r="F325" s="16" t="inlineStr">
        <is>
          <t>▶</t>
        </is>
      </c>
      <c r="G325" s="15" t="inlineStr">
        <is>
          <t>Today</t>
        </is>
      </c>
      <c r="H325" s="14" t="inlineStr">
        <is>
          <t>Month | 3 mo | 6 mo | Year</t>
        </is>
      </c>
      <c r="I325" s="15" t="inlineStr">
        <is>
          <t>+ Add entry</t>
        </is>
      </c>
    </row>
    <row r="326" ht="16" customHeight="1">
      <c r="B326" s="12" t="n"/>
      <c r="C326" s="28" t="inlineStr">
        <is>
          <t>Type</t>
        </is>
      </c>
      <c r="D326" s="29" t="inlineStr">
        <is>
          <t>Icon button</t>
        </is>
      </c>
      <c r="E326" s="29" t="inlineStr">
        <is>
          <t>Label</t>
        </is>
      </c>
      <c r="F326" s="29" t="inlineStr">
        <is>
          <t>Icon button</t>
        </is>
      </c>
      <c r="G326" s="29" t="inlineStr">
        <is>
          <t>Button</t>
        </is>
      </c>
      <c r="H326" s="29" t="inlineStr">
        <is>
          <t>Toggle</t>
        </is>
      </c>
      <c r="I326" s="29" t="inlineStr">
        <is>
          <t>Button</t>
        </is>
      </c>
    </row>
    <row r="327" ht="40" customHeight="1">
      <c r="B327" s="12" t="n"/>
      <c r="C327" s="28" t="inlineStr">
        <is>
          <t>What it does</t>
        </is>
      </c>
      <c r="D327" s="30" t="inlineStr">
        <is>
          <t>Previous month</t>
        </is>
      </c>
      <c r="E327" s="30" t="n"/>
      <c r="F327" s="30" t="inlineStr">
        <is>
          <t>Next month</t>
        </is>
      </c>
      <c r="G327" s="30" t="inlineStr">
        <is>
          <t>Jumps to today</t>
        </is>
      </c>
      <c r="H327" s="30" t="inlineStr">
        <is>
          <t>Time selector</t>
        </is>
      </c>
      <c r="I327" s="30" t="inlineStr">
        <is>
          <t>Opens the entry form on today's date</t>
        </is>
      </c>
    </row>
    <row r="328" ht="30" customHeight="1">
      <c r="B328" s="12" t="inlineStr">
        <is>
          <t>Secondary</t>
        </is>
      </c>
      <c r="C328" s="28" t="inlineStr">
        <is>
          <t>Looks like</t>
        </is>
      </c>
      <c r="D328" s="13" t="inlineStr">
        <is>
          <t>Starting balance $</t>
        </is>
      </c>
      <c r="E328" s="13" t="inlineStr">
        <is>
          <t>Low balance line $</t>
        </is>
      </c>
      <c r="F328" s="14" t="inlineStr">
        <is>
          <t>Show: Income | Bills | Debt | Savings | Maybe | Wins</t>
        </is>
      </c>
    </row>
    <row r="329" ht="16" customHeight="1">
      <c r="B329" s="12" t="n"/>
      <c r="C329" s="28" t="inlineStr">
        <is>
          <t>Type</t>
        </is>
      </c>
      <c r="D329" s="29" t="inlineStr">
        <is>
          <t>Field</t>
        </is>
      </c>
      <c r="E329" s="29" t="inlineStr">
        <is>
          <t>Field</t>
        </is>
      </c>
      <c r="F329" s="29" t="inlineStr">
        <is>
          <t>Toggle</t>
        </is>
      </c>
    </row>
    <row r="330" ht="40" customHeight="1">
      <c r="B330" s="12" t="n"/>
      <c r="C330" s="28" t="inlineStr">
        <is>
          <t>What it does</t>
        </is>
      </c>
      <c r="D330" s="30" t="inlineStr">
        <is>
          <t>Pulled from checking, editable</t>
        </is>
      </c>
      <c r="E330" s="30" t="inlineStr">
        <is>
          <t>Warn when the running balance dips below</t>
        </is>
      </c>
      <c r="F330" s="30" t="inlineStr">
        <is>
          <t>Filters chips</t>
        </is>
      </c>
    </row>
    <row r="332">
      <c r="A332" s="25" t="inlineStr">
        <is>
          <t>Cash flow calendar › Day cell</t>
        </is>
      </c>
      <c r="B332" s="26" t="n"/>
      <c r="C332" s="26" t="n"/>
      <c r="D332" s="26" t="n"/>
      <c r="E332" s="26" t="n"/>
      <c r="F332" s="26" t="n"/>
      <c r="G332" s="26" t="n"/>
      <c r="H332" s="26" t="n"/>
      <c r="I332" s="26" t="n"/>
      <c r="J332" s="26" t="n"/>
      <c r="K332" s="26" t="n"/>
      <c r="L332" s="26" t="n"/>
      <c r="M332" s="26" t="n"/>
      <c r="N332" s="26" t="n"/>
      <c r="O332" s="26" t="n"/>
    </row>
    <row r="333" ht="30" customHeight="1">
      <c r="B333" s="12" t="inlineStr">
        <is>
          <t>Primary</t>
        </is>
      </c>
      <c r="C333" s="28" t="inlineStr">
        <is>
          <t>Looks like</t>
        </is>
      </c>
      <c r="D333" s="20" t="inlineStr">
        <is>
          <t>15</t>
        </is>
      </c>
      <c r="E333" s="23" t="inlineStr">
        <is>
          <t>+ Paycheck $2,100</t>
        </is>
      </c>
      <c r="F333" s="23" t="inlineStr">
        <is>
          <t>− Rent $1,650</t>
        </is>
      </c>
      <c r="G333" s="23" t="inlineStr">
        <is>
          <t>~ Maybe: client payment $400</t>
        </is>
      </c>
      <c r="H333" s="23" t="inlineStr">
        <is>
          <t>★ Debt-free: Visa</t>
        </is>
      </c>
      <c r="I333" s="19" t="inlineStr">
        <is>
          <t>Running balance $3,820</t>
        </is>
      </c>
      <c r="J333" s="19" t="inlineStr">
        <is>
          <t>⚠ Below $500</t>
        </is>
      </c>
    </row>
    <row r="334" ht="16" customHeight="1">
      <c r="B334" s="12" t="n"/>
      <c r="C334" s="28" t="inlineStr">
        <is>
          <t>Type</t>
        </is>
      </c>
      <c r="D334" s="29" t="inlineStr">
        <is>
          <t>Label</t>
        </is>
      </c>
      <c r="E334" s="29" t="inlineStr">
        <is>
          <t>Card</t>
        </is>
      </c>
      <c r="F334" s="29" t="inlineStr">
        <is>
          <t>Card</t>
        </is>
      </c>
      <c r="G334" s="29" t="inlineStr">
        <is>
          <t>Card</t>
        </is>
      </c>
      <c r="H334" s="29" t="inlineStr">
        <is>
          <t>Card</t>
        </is>
      </c>
      <c r="I334" s="29" t="inlineStr">
        <is>
          <t>Computed</t>
        </is>
      </c>
      <c r="J334" s="29" t="inlineStr">
        <is>
          <t>Computed</t>
        </is>
      </c>
    </row>
    <row r="335" ht="40" customHeight="1">
      <c r="B335" s="12" t="n"/>
      <c r="C335" s="28" t="inlineStr">
        <is>
          <t>What it does</t>
        </is>
      </c>
      <c r="D335" s="30" t="inlineStr">
        <is>
          <t>Day number</t>
        </is>
      </c>
      <c r="E335" s="30" t="inlineStr">
        <is>
          <t>Green chip. Click to edit</t>
        </is>
      </c>
      <c r="F335" s="30" t="inlineStr">
        <is>
          <t>Bill chip</t>
        </is>
      </c>
      <c r="G335" s="30" t="inlineStr">
        <is>
          <t>Dashed chip. Left out of the running balance unless 'Count maybe' is on</t>
        </is>
      </c>
      <c r="H335" s="30" t="inlineStr">
        <is>
          <t>Win chip: milestones, payoffs, raises, anniversaries of progress</t>
        </is>
      </c>
      <c r="I335" s="30" t="inlineStr">
        <is>
          <t>End-of-day balance</t>
        </is>
      </c>
      <c r="J335" s="30" t="inlineStr">
        <is>
          <t>Shows only if under the low balance line</t>
        </is>
      </c>
    </row>
    <row r="336" ht="30" customHeight="1">
      <c r="B336" s="12" t="inlineStr">
        <is>
          <t>Secondary</t>
        </is>
      </c>
      <c r="C336" s="28" t="inlineStr">
        <is>
          <t>Looks like</t>
        </is>
      </c>
      <c r="D336" s="15" t="inlineStr">
        <is>
          <t>Drag a chip</t>
        </is>
      </c>
      <c r="E336" s="16" t="inlineStr">
        <is>
          <t>+</t>
        </is>
      </c>
    </row>
    <row r="337" ht="16" customHeight="1">
      <c r="B337" s="12" t="n"/>
      <c r="C337" s="28" t="inlineStr">
        <is>
          <t>Type</t>
        </is>
      </c>
      <c r="D337" s="29" t="inlineStr">
        <is>
          <t>Button</t>
        </is>
      </c>
      <c r="E337" s="29" t="inlineStr">
        <is>
          <t>Icon button</t>
        </is>
      </c>
    </row>
    <row r="338" ht="40" customHeight="1">
      <c r="B338" s="12" t="n"/>
      <c r="C338" s="28" t="inlineStr">
        <is>
          <t>What it does</t>
        </is>
      </c>
      <c r="D338" s="30" t="inlineStr">
        <is>
          <t>Move an entry to another day</t>
        </is>
      </c>
      <c r="E338" s="30" t="inlineStr">
        <is>
          <t>Add an entry on this day</t>
        </is>
      </c>
    </row>
    <row r="340">
      <c r="A340" s="25" t="inlineStr">
        <is>
          <t>Cash flow calendar › Entry form</t>
        </is>
      </c>
      <c r="B340" s="26" t="n"/>
      <c r="C340" s="26" t="n"/>
      <c r="D340" s="26" t="n"/>
      <c r="E340" s="26" t="n"/>
      <c r="F340" s="26" t="n"/>
      <c r="G340" s="26" t="n"/>
      <c r="H340" s="26" t="n"/>
      <c r="I340" s="26" t="n"/>
      <c r="J340" s="26" t="n"/>
      <c r="K340" s="26" t="n"/>
      <c r="L340" s="26" t="n"/>
      <c r="M340" s="26" t="n"/>
      <c r="N340" s="26" t="n"/>
      <c r="O340" s="26" t="n"/>
    </row>
    <row r="341" ht="30" customHeight="1">
      <c r="B341" s="12" t="inlineStr">
        <is>
          <t>Primary</t>
        </is>
      </c>
      <c r="C341" s="28" t="inlineStr">
        <is>
          <t>Looks like</t>
        </is>
      </c>
      <c r="D341" s="13" t="inlineStr">
        <is>
          <t>Name</t>
        </is>
      </c>
      <c r="E341" s="13" t="inlineStr">
        <is>
          <t>[ $ Amount ]</t>
        </is>
      </c>
      <c r="F341" s="14" t="inlineStr">
        <is>
          <t>In | Out | Maybe</t>
        </is>
      </c>
      <c r="G341" s="14" t="inlineStr">
        <is>
          <t>Date</t>
        </is>
      </c>
      <c r="H341" s="14" t="inlineStr">
        <is>
          <t>Repeats ▾</t>
        </is>
      </c>
      <c r="I341" s="15" t="inlineStr">
        <is>
          <t>Save</t>
        </is>
      </c>
      <c r="J341" s="16" t="inlineStr">
        <is>
          <t>⧉</t>
        </is>
      </c>
      <c r="K341" s="16" t="inlineStr">
        <is>
          <t>↺</t>
        </is>
      </c>
      <c r="L341" s="16" t="inlineStr">
        <is>
          <t>🗑</t>
        </is>
      </c>
      <c r="M341" s="17" t="inlineStr">
        <is>
          <t>More ▸</t>
        </is>
      </c>
    </row>
    <row r="342" ht="16" customHeight="1">
      <c r="B342" s="12" t="n"/>
      <c r="C342" s="28" t="inlineStr">
        <is>
          <t>Type</t>
        </is>
      </c>
      <c r="D342" s="29" t="inlineStr">
        <is>
          <t>Field</t>
        </is>
      </c>
      <c r="E342" s="29" t="inlineStr">
        <is>
          <t>Field</t>
        </is>
      </c>
      <c r="F342" s="29" t="inlineStr">
        <is>
          <t>Toggle</t>
        </is>
      </c>
      <c r="G342" s="29" t="inlineStr">
        <is>
          <t>Picker</t>
        </is>
      </c>
      <c r="H342" s="29" t="inlineStr">
        <is>
          <t>Dropdown</t>
        </is>
      </c>
      <c r="I342" s="29" t="inlineStr">
        <is>
          <t>Button</t>
        </is>
      </c>
      <c r="J342" s="29" t="inlineStr">
        <is>
          <t>Icon button</t>
        </is>
      </c>
      <c r="K342" s="29" t="inlineStr">
        <is>
          <t>Icon button</t>
        </is>
      </c>
      <c r="L342" s="29" t="inlineStr">
        <is>
          <t>Icon button</t>
        </is>
      </c>
      <c r="M342" s="29" t="inlineStr">
        <is>
          <t>Caret</t>
        </is>
      </c>
    </row>
    <row r="343" ht="40" customHeight="1">
      <c r="B343" s="12" t="n"/>
      <c r="C343" s="28" t="inlineStr">
        <is>
          <t>What it does</t>
        </is>
      </c>
      <c r="D343" s="30" t="n"/>
      <c r="E343" s="30" t="n"/>
      <c r="F343" s="30" t="inlineStr">
        <is>
          <t>Maybe = expected but not certain income</t>
        </is>
      </c>
      <c r="G343" s="30" t="n"/>
      <c r="H343" s="30" t="inlineStr">
        <is>
          <t>Never, weekly, every 2 weeks, twice a month, monthly, yearly</t>
        </is>
      </c>
      <c r="I343" s="30" t="n"/>
      <c r="J343" s="30" t="inlineStr">
        <is>
          <t>Duplicate: copies this row, opens it for editing. Small icon, tooltip on hover</t>
        </is>
      </c>
      <c r="K343" s="30" t="inlineStr">
        <is>
          <t>Reset: clears this row back to blank, keeps the row. Small icon</t>
        </is>
      </c>
      <c r="L343" s="30" t="inlineStr">
        <is>
          <t>Delete: removes the row with an 'Undo' toast for 10 seconds. Small trash can</t>
        </is>
      </c>
      <c r="M343" s="30" t="inlineStr">
        <is>
          <t>Shows Secondary fields. Collapsed by default. Paid with sits at the top of it</t>
        </is>
      </c>
    </row>
    <row r="344" ht="30" customHeight="1">
      <c r="B344" s="12" t="inlineStr">
        <is>
          <t>Secondary</t>
        </is>
      </c>
      <c r="C344" s="28" t="inlineStr">
        <is>
          <t>Looks like</t>
        </is>
      </c>
      <c r="D344" s="14" t="inlineStr">
        <is>
          <t>Category ▾</t>
        </is>
      </c>
      <c r="E344" s="14" t="inlineStr">
        <is>
          <t>Account ▾</t>
        </is>
      </c>
      <c r="F344" s="14" t="inlineStr">
        <is>
          <t>Linked debt or bill ▾</t>
        </is>
      </c>
      <c r="G344" s="14" t="inlineStr">
        <is>
          <t>Ends on</t>
        </is>
      </c>
    </row>
    <row r="345" ht="16" customHeight="1">
      <c r="B345" s="12" t="n"/>
      <c r="C345" s="28" t="inlineStr">
        <is>
          <t>Type</t>
        </is>
      </c>
      <c r="D345" s="29" t="inlineStr">
        <is>
          <t>Picker</t>
        </is>
      </c>
      <c r="E345" s="29" t="inlineStr">
        <is>
          <t>Dropdown</t>
        </is>
      </c>
      <c r="F345" s="29" t="inlineStr">
        <is>
          <t>Dropdown</t>
        </is>
      </c>
      <c r="G345" s="29" t="inlineStr">
        <is>
          <t>Picker</t>
        </is>
      </c>
    </row>
    <row r="346" ht="40" customHeight="1">
      <c r="B346" s="12" t="n"/>
      <c r="C346" s="28" t="inlineStr">
        <is>
          <t>What it does</t>
        </is>
      </c>
      <c r="D346" s="30" t="inlineStr">
        <is>
          <t>Links to the budget line</t>
        </is>
      </c>
      <c r="E346" s="30" t="inlineStr">
        <is>
          <t>Which account it hits</t>
        </is>
      </c>
      <c r="F346" s="30" t="inlineStr">
        <is>
          <t>Credit card due days appear here automatically</t>
        </is>
      </c>
      <c r="G346" s="30" t="n"/>
    </row>
    <row r="347" ht="30" customHeight="1">
      <c r="B347" s="12" t="inlineStr">
        <is>
          <t>Tertiary</t>
        </is>
      </c>
      <c r="C347" s="28" t="inlineStr">
        <is>
          <t>Looks like</t>
        </is>
      </c>
      <c r="D347" s="15" t="inlineStr">
        <is>
          <t>Got it / Paid</t>
        </is>
      </c>
      <c r="E347" s="13" t="inlineStr">
        <is>
          <t>Actual amount</t>
        </is>
      </c>
      <c r="F347" s="14" t="inlineStr">
        <is>
          <t>Actual date</t>
        </is>
      </c>
      <c r="G347" s="13" t="inlineStr">
        <is>
          <t>Notes</t>
        </is>
      </c>
    </row>
    <row r="348" ht="16" customHeight="1">
      <c r="B348" s="12" t="n"/>
      <c r="C348" s="28" t="inlineStr">
        <is>
          <t>Type</t>
        </is>
      </c>
      <c r="D348" s="29" t="inlineStr">
        <is>
          <t>Button</t>
        </is>
      </c>
      <c r="E348" s="29" t="inlineStr">
        <is>
          <t>Field</t>
        </is>
      </c>
      <c r="F348" s="29" t="inlineStr">
        <is>
          <t>Picker</t>
        </is>
      </c>
      <c r="G348" s="29" t="inlineStr">
        <is>
          <t>Field</t>
        </is>
      </c>
    </row>
    <row r="349" ht="40" customHeight="1">
      <c r="B349" s="12" t="n"/>
      <c r="C349" s="28" t="inlineStr">
        <is>
          <t>What it does</t>
        </is>
      </c>
      <c r="D349" s="30" t="inlineStr">
        <is>
          <t>Planned or maybe becomes actual, on the day it really happened</t>
        </is>
      </c>
      <c r="E349" s="30" t="inlineStr">
        <is>
          <t>If different</t>
        </is>
      </c>
      <c r="F349" s="30" t="inlineStr">
        <is>
          <t>If it came on a different day</t>
        </is>
      </c>
      <c r="G349" s="30" t="n"/>
    </row>
    <row r="351">
      <c r="A351" s="25" t="inlineStr">
        <is>
          <t>Cash flow calendar › Wins entry</t>
        </is>
      </c>
      <c r="B351" s="26" t="n"/>
      <c r="C351" s="26" t="n"/>
      <c r="D351" s="26" t="n"/>
      <c r="E351" s="26" t="n"/>
      <c r="F351" s="26" t="n"/>
      <c r="G351" s="26" t="n"/>
      <c r="H351" s="26" t="n"/>
      <c r="I351" s="26" t="n"/>
      <c r="J351" s="26" t="n"/>
      <c r="K351" s="26" t="n"/>
      <c r="L351" s="26" t="n"/>
      <c r="M351" s="26" t="n"/>
      <c r="N351" s="26" t="n"/>
      <c r="O351" s="26" t="n"/>
    </row>
    <row r="352" ht="30" customHeight="1">
      <c r="B352" s="12" t="inlineStr">
        <is>
          <t>Primary</t>
        </is>
      </c>
      <c r="C352" s="28" t="inlineStr">
        <is>
          <t>Looks like</t>
        </is>
      </c>
      <c r="D352" s="15" t="inlineStr">
        <is>
          <t>+ Add a win</t>
        </is>
      </c>
      <c r="E352" s="13" t="inlineStr">
        <is>
          <t>What happened</t>
        </is>
      </c>
      <c r="F352" s="14" t="inlineStr">
        <is>
          <t>Date</t>
        </is>
      </c>
      <c r="G352" s="14" t="inlineStr">
        <is>
          <t>Auto wins</t>
        </is>
      </c>
    </row>
    <row r="353" ht="16" customHeight="1">
      <c r="B353" s="12" t="n"/>
      <c r="C353" s="28" t="inlineStr">
        <is>
          <t>Type</t>
        </is>
      </c>
      <c r="D353" s="29" t="inlineStr">
        <is>
          <t>Button</t>
        </is>
      </c>
      <c r="E353" s="29" t="inlineStr">
        <is>
          <t>Field</t>
        </is>
      </c>
      <c r="F353" s="29" t="inlineStr">
        <is>
          <t>Picker</t>
        </is>
      </c>
      <c r="G353" s="29" t="inlineStr">
        <is>
          <t>Toggle</t>
        </is>
      </c>
    </row>
    <row r="354" ht="40" customHeight="1">
      <c r="B354" s="12" t="n"/>
      <c r="C354" s="28" t="inlineStr">
        <is>
          <t>What it does</t>
        </is>
      </c>
      <c r="D354" s="30" t="inlineStr">
        <is>
          <t>Something good on a date</t>
        </is>
      </c>
      <c r="E354" s="30" t="n"/>
      <c r="F354" s="30" t="n"/>
      <c r="G354" s="30" t="inlineStr">
        <is>
          <t>Payoff dates, milestones and FI steps appear on their own</t>
        </is>
      </c>
    </row>
    <row r="356">
      <c r="A356" s="25" t="inlineStr">
        <is>
          <t>Month-end close › Close row</t>
        </is>
      </c>
      <c r="B356" s="26" t="n"/>
      <c r="C356" s="26" t="n"/>
      <c r="D356" s="26" t="n"/>
      <c r="E356" s="26" t="n"/>
      <c r="F356" s="26" t="n"/>
      <c r="G356" s="26" t="n"/>
      <c r="H356" s="26" t="n"/>
      <c r="I356" s="26" t="n"/>
      <c r="J356" s="26" t="n"/>
      <c r="K356" s="26" t="n"/>
      <c r="L356" s="26" t="n"/>
      <c r="M356" s="26" t="n"/>
      <c r="N356" s="26" t="n"/>
      <c r="O356" s="26" t="n"/>
    </row>
    <row r="357" ht="30" customHeight="1">
      <c r="B357" s="12" t="inlineStr">
        <is>
          <t>Primary</t>
        </is>
      </c>
      <c r="C357" s="28" t="inlineStr">
        <is>
          <t>Looks like</t>
        </is>
      </c>
      <c r="D357" s="20" t="inlineStr">
        <is>
          <t>October 2026</t>
        </is>
      </c>
      <c r="E357" s="19" t="inlineStr">
        <is>
          <t>Actuals prefilled ✓</t>
        </is>
      </c>
      <c r="F357" s="19" t="inlineStr">
        <is>
          <t>Gaps: 3 lines</t>
        </is>
      </c>
      <c r="G357" s="15" t="inlineStr">
        <is>
          <t>Review</t>
        </is>
      </c>
      <c r="H357" s="15" t="inlineStr">
        <is>
          <t>Close month</t>
        </is>
      </c>
    </row>
    <row r="358" ht="16" customHeight="1">
      <c r="B358" s="12" t="n"/>
      <c r="C358" s="28" t="inlineStr">
        <is>
          <t>Type</t>
        </is>
      </c>
      <c r="D358" s="29" t="inlineStr">
        <is>
          <t>Label</t>
        </is>
      </c>
      <c r="E358" s="29" t="inlineStr">
        <is>
          <t>Computed</t>
        </is>
      </c>
      <c r="F358" s="29" t="inlineStr">
        <is>
          <t>Computed</t>
        </is>
      </c>
      <c r="G358" s="29" t="inlineStr">
        <is>
          <t>Button</t>
        </is>
      </c>
      <c r="H358" s="29" t="inlineStr">
        <is>
          <t>Button</t>
        </is>
      </c>
    </row>
    <row r="359" ht="40" customHeight="1">
      <c r="B359" s="12" t="n"/>
      <c r="C359" s="28" t="inlineStr">
        <is>
          <t>What it does</t>
        </is>
      </c>
      <c r="D359" s="30" t="n"/>
      <c r="E359" s="30" t="inlineStr">
        <is>
          <t>From the calendar</t>
        </is>
      </c>
      <c r="F359" s="30" t="inlineStr">
        <is>
          <t>Lines with no actual</t>
        </is>
      </c>
      <c r="G359" s="30" t="inlineStr">
        <is>
          <t>Opens the checklist</t>
        </is>
      </c>
      <c r="H359" s="30" t="inlineStr">
        <is>
          <t>Locks the month and copies adjustments to next month</t>
        </is>
      </c>
    </row>
    <row r="360" ht="30" customHeight="1">
      <c r="B360" s="12" t="inlineStr">
        <is>
          <t>Secondary</t>
        </is>
      </c>
      <c r="C360" s="28" t="inlineStr">
        <is>
          <t>Looks like</t>
        </is>
      </c>
      <c r="D360" s="23" t="inlineStr">
        <is>
          <t>Biggest misses</t>
        </is>
      </c>
      <c r="E360" s="15" t="inlineStr">
        <is>
          <t>Carry adjustment →</t>
        </is>
      </c>
    </row>
    <row r="361" ht="16" customHeight="1">
      <c r="B361" s="12" t="n"/>
      <c r="C361" s="28" t="inlineStr">
        <is>
          <t>Type</t>
        </is>
      </c>
      <c r="D361" s="29" t="inlineStr">
        <is>
          <t>Card</t>
        </is>
      </c>
      <c r="E361" s="29" t="inlineStr">
        <is>
          <t>Button</t>
        </is>
      </c>
    </row>
    <row r="362" ht="40" customHeight="1">
      <c r="B362" s="12" t="n"/>
      <c r="C362" s="28" t="inlineStr">
        <is>
          <t>What it does</t>
        </is>
      </c>
      <c r="D362" s="30" t="inlineStr">
        <is>
          <t>Top 3 lines vs estimate</t>
        </is>
      </c>
      <c r="E362" s="30" t="inlineStr">
        <is>
          <t>Sends a new estimate to next month</t>
        </is>
      </c>
    </row>
    <row r="364" ht="22" customHeight="1">
      <c r="A364" s="24" t="inlineStr">
        <is>
          <t>PLAN</t>
        </is>
      </c>
      <c r="B364" s="6" t="n"/>
      <c r="C364" s="6" t="n"/>
      <c r="D364" s="6" t="n"/>
      <c r="E364" s="6" t="n"/>
      <c r="F364" s="6" t="n"/>
      <c r="G364" s="6" t="n"/>
      <c r="H364" s="6" t="n"/>
      <c r="I364" s="6" t="n"/>
      <c r="J364" s="6" t="n"/>
      <c r="K364" s="6" t="n"/>
      <c r="L364" s="6" t="n"/>
      <c r="M364" s="6" t="n"/>
      <c r="N364" s="6" t="n"/>
      <c r="O364" s="6" t="n"/>
    </row>
    <row r="365">
      <c r="A365" s="25" t="inlineStr">
        <is>
          <t>Sub-tabs › Sub-tab bar</t>
        </is>
      </c>
      <c r="B365" s="26" t="n"/>
      <c r="C365" s="26" t="n"/>
      <c r="D365" s="26" t="n"/>
      <c r="E365" s="26" t="n"/>
      <c r="F365" s="26" t="n"/>
      <c r="G365" s="26" t="n"/>
      <c r="H365" s="26" t="n"/>
      <c r="I365" s="26" t="n"/>
      <c r="J365" s="26" t="n"/>
      <c r="K365" s="26" t="n"/>
      <c r="L365" s="26" t="n"/>
      <c r="M365" s="26" t="n"/>
      <c r="N365" s="26" t="n"/>
      <c r="O365" s="26" t="n"/>
    </row>
    <row r="366" ht="30" customHeight="1">
      <c r="B366" s="12" t="inlineStr">
        <is>
          <t>Primary</t>
        </is>
      </c>
      <c r="C366" s="28" t="inlineStr">
        <is>
          <t>Looks like</t>
        </is>
      </c>
      <c r="D366" s="21" t="inlineStr">
        <is>
          <t>Goals</t>
        </is>
      </c>
      <c r="E366" s="21" t="inlineStr">
        <is>
          <t>Timeline</t>
        </is>
      </c>
      <c r="F366" s="21" t="inlineStr">
        <is>
          <t>Debt payoff</t>
        </is>
      </c>
      <c r="G366" s="21" t="inlineStr">
        <is>
          <t>Next 12 months</t>
        </is>
      </c>
      <c r="H366" s="21" t="inlineStr">
        <is>
          <t>Scenarios</t>
        </is>
      </c>
    </row>
    <row r="367" ht="16" customHeight="1">
      <c r="B367" s="12" t="n"/>
      <c r="C367" s="28" t="inlineStr">
        <is>
          <t>Type</t>
        </is>
      </c>
      <c r="D367" s="29" t="inlineStr">
        <is>
          <t>Tab</t>
        </is>
      </c>
      <c r="E367" s="29" t="inlineStr">
        <is>
          <t>Tab</t>
        </is>
      </c>
      <c r="F367" s="29" t="inlineStr">
        <is>
          <t>Tab</t>
        </is>
      </c>
      <c r="G367" s="29" t="inlineStr">
        <is>
          <t>Tab</t>
        </is>
      </c>
      <c r="H367" s="29" t="inlineStr">
        <is>
          <t>Tab</t>
        </is>
      </c>
    </row>
    <row r="368" ht="40" customHeight="1">
      <c r="B368" s="12" t="n"/>
      <c r="C368" s="28" t="inlineStr">
        <is>
          <t>What it does</t>
        </is>
      </c>
      <c r="D368" s="30" t="inlineStr">
        <is>
          <t>FI target, assumptions, milestones</t>
        </is>
      </c>
      <c r="E368" s="30" t="inlineStr">
        <is>
          <t>FI timeline with sliders</t>
        </is>
      </c>
      <c r="F368" s="30" t="n"/>
      <c r="G368" s="30" t="inlineStr">
        <is>
          <t>Upcoming events</t>
        </is>
      </c>
      <c r="H368" s="30" t="inlineStr">
        <is>
          <t>Later</t>
        </is>
      </c>
    </row>
    <row r="370">
      <c r="A370" s="25" t="inlineStr">
        <is>
          <t>Goals › FI target</t>
        </is>
      </c>
      <c r="B370" s="26" t="n"/>
      <c r="C370" s="26" t="n"/>
      <c r="D370" s="26" t="n"/>
      <c r="E370" s="26" t="n"/>
      <c r="F370" s="26" t="n"/>
      <c r="G370" s="26" t="n"/>
      <c r="H370" s="26" t="n"/>
      <c r="I370" s="26" t="n"/>
      <c r="J370" s="26" t="n"/>
      <c r="K370" s="26" t="n"/>
      <c r="L370" s="26" t="n"/>
      <c r="M370" s="26" t="n"/>
      <c r="N370" s="26" t="n"/>
      <c r="O370" s="26" t="n"/>
    </row>
    <row r="371" ht="30" customHeight="1">
      <c r="B371" s="12" t="inlineStr">
        <is>
          <t>Primary</t>
        </is>
      </c>
      <c r="C371" s="28" t="inlineStr">
        <is>
          <t>Looks like</t>
        </is>
      </c>
      <c r="D371" s="13" t="inlineStr">
        <is>
          <t>FI age</t>
        </is>
      </c>
      <c r="E371" s="15" t="inlineStr">
        <is>
          <t>Just show me</t>
        </is>
      </c>
      <c r="F371" s="19" t="inlineStr">
        <is>
          <t>FI date</t>
        </is>
      </c>
      <c r="G371" s="19" t="inlineStr">
        <is>
          <t>FI number</t>
        </is>
      </c>
      <c r="H371" s="17" t="inlineStr">
        <is>
          <t>More ▸</t>
        </is>
      </c>
    </row>
    <row r="372" ht="16" customHeight="1">
      <c r="B372" s="12" t="n"/>
      <c r="C372" s="28" t="inlineStr">
        <is>
          <t>Type</t>
        </is>
      </c>
      <c r="D372" s="29" t="inlineStr">
        <is>
          <t>Field</t>
        </is>
      </c>
      <c r="E372" s="29" t="inlineStr">
        <is>
          <t>Button</t>
        </is>
      </c>
      <c r="F372" s="29" t="inlineStr">
        <is>
          <t>Computed</t>
        </is>
      </c>
      <c r="G372" s="29" t="inlineStr">
        <is>
          <t>Computed</t>
        </is>
      </c>
      <c r="H372" s="29" t="inlineStr">
        <is>
          <t>Caret</t>
        </is>
      </c>
    </row>
    <row r="373" ht="40" customHeight="1">
      <c r="B373" s="12" t="n"/>
      <c r="C373" s="28" t="inlineStr">
        <is>
          <t>What it does</t>
        </is>
      </c>
      <c r="D373" s="30" t="n"/>
      <c r="E373" s="30" t="inlineStr">
        <is>
          <t>Skips the age and shows the earliest date</t>
        </is>
      </c>
      <c r="F373" s="30" t="inlineStr">
        <is>
          <t>Headline</t>
        </is>
      </c>
      <c r="G373" s="30" t="n"/>
      <c r="H373" s="30" t="inlineStr">
        <is>
          <t>Shows Secondary fields. Collapsed by default. Paid with sits at the top of it</t>
        </is>
      </c>
    </row>
    <row r="374" ht="30" customHeight="1">
      <c r="B374" s="12" t="inlineStr">
        <is>
          <t>Secondary</t>
        </is>
      </c>
      <c r="C374" s="28" t="inlineStr">
        <is>
          <t>Looks like</t>
        </is>
      </c>
      <c r="D374" s="14" t="inlineStr">
        <is>
          <t>Return 6 | 7 | 8 | 12%</t>
        </is>
      </c>
      <c r="E374" s="14" t="inlineStr">
        <is>
          <t>Inflation 2 | 3%</t>
        </is>
      </c>
      <c r="F374" s="14" t="inlineStr">
        <is>
          <t>Withdrawal 3 | 4 | 4.7 | 5.2%</t>
        </is>
      </c>
      <c r="G374" s="14" t="inlineStr">
        <is>
          <t>Pace: Optimistic | Likely | Pessimistic</t>
        </is>
      </c>
      <c r="H374" s="13" t="inlineStr">
        <is>
          <t>Retirement spending</t>
        </is>
      </c>
      <c r="I374" s="17" t="inlineStr">
        <is>
          <t>More ▸</t>
        </is>
      </c>
    </row>
    <row r="375" ht="16" customHeight="1">
      <c r="B375" s="12" t="n"/>
      <c r="C375" s="28" t="inlineStr">
        <is>
          <t>Type</t>
        </is>
      </c>
      <c r="D375" s="29" t="inlineStr">
        <is>
          <t>Toggle</t>
        </is>
      </c>
      <c r="E375" s="29" t="inlineStr">
        <is>
          <t>Toggle</t>
        </is>
      </c>
      <c r="F375" s="29" t="inlineStr">
        <is>
          <t>Toggle</t>
        </is>
      </c>
      <c r="G375" s="29" t="inlineStr">
        <is>
          <t>Toggle</t>
        </is>
      </c>
      <c r="H375" s="29" t="inlineStr">
        <is>
          <t>Field</t>
        </is>
      </c>
      <c r="I375" s="29" t="inlineStr">
        <is>
          <t>Caret</t>
        </is>
      </c>
    </row>
    <row r="376" ht="40" customHeight="1">
      <c r="B376" s="12" t="n"/>
      <c r="C376" s="28" t="inlineStr">
        <is>
          <t>What it does</t>
        </is>
      </c>
      <c r="D376" s="30" t="inlineStr">
        <is>
          <t>Default 7%. 12% = hopeful, no inflation</t>
        </is>
      </c>
      <c r="E376" s="30" t="inlineStr">
        <is>
          <t>Default 2%</t>
        </is>
      </c>
      <c r="F376" s="30" t="inlineStr">
        <is>
          <t>Default 4%</t>
        </is>
      </c>
      <c r="G376" s="30" t="inlineStr">
        <is>
          <t>Default Likely; Optimistic = 8%, Pessimistic = 6%</t>
        </is>
      </c>
      <c r="H376" s="30" t="inlineStr">
        <is>
          <t>Defaults to current spending</t>
        </is>
      </c>
      <c r="I376" s="30" t="inlineStr">
        <is>
          <t>Shows Tertiary fields. Collapsed by default. Paid with sits at the top of it</t>
        </is>
      </c>
    </row>
    <row r="377" ht="30" customHeight="1">
      <c r="B377" s="12" t="inlineStr">
        <is>
          <t>Tertiary</t>
        </is>
      </c>
      <c r="C377" s="28" t="inlineStr">
        <is>
          <t>Looks like</t>
        </is>
      </c>
      <c r="D377" s="14" t="inlineStr">
        <is>
          <t>Real | Nominal</t>
        </is>
      </c>
      <c r="E377" s="13" t="inlineStr">
        <is>
          <t>Life expectancy</t>
        </is>
      </c>
      <c r="F377" s="14" t="inlineStr">
        <is>
          <t>Social Security ▾</t>
        </is>
      </c>
    </row>
    <row r="378" ht="16" customHeight="1">
      <c r="B378" s="12" t="n"/>
      <c r="C378" s="28" t="inlineStr">
        <is>
          <t>Type</t>
        </is>
      </c>
      <c r="D378" s="29" t="inlineStr">
        <is>
          <t>Toggle</t>
        </is>
      </c>
      <c r="E378" s="29" t="inlineStr">
        <is>
          <t>Field</t>
        </is>
      </c>
      <c r="F378" s="29" t="inlineStr">
        <is>
          <t>Dropdown</t>
        </is>
      </c>
    </row>
    <row r="379" ht="40" customHeight="1">
      <c r="B379" s="12" t="n"/>
      <c r="C379" s="28" t="inlineStr">
        <is>
          <t>What it does</t>
        </is>
      </c>
      <c r="D379" s="30" t="inlineStr">
        <is>
          <t>With a plain definition</t>
        </is>
      </c>
      <c r="E379" s="30" t="inlineStr">
        <is>
          <t>Default 90</t>
        </is>
      </c>
      <c r="F379" s="30" t="inlineStr">
        <is>
          <t>Full scheduled, reduced %, none</t>
        </is>
      </c>
    </row>
    <row r="381">
      <c r="A381" s="25" t="inlineStr">
        <is>
          <t>Goals › These are big deals</t>
        </is>
      </c>
      <c r="B381" s="26" t="n"/>
      <c r="C381" s="26" t="n"/>
      <c r="D381" s="26" t="n"/>
      <c r="E381" s="26" t="n"/>
      <c r="F381" s="26" t="n"/>
      <c r="G381" s="26" t="n"/>
      <c r="H381" s="26" t="n"/>
      <c r="I381" s="26" t="n"/>
      <c r="J381" s="26" t="n"/>
      <c r="K381" s="26" t="n"/>
      <c r="L381" s="26" t="n"/>
      <c r="M381" s="26" t="n"/>
      <c r="N381" s="26" t="n"/>
      <c r="O381" s="27" t="inlineStr">
        <is>
          <t>Shows how much one assumption changes the answer</t>
        </is>
      </c>
    </row>
    <row r="382" ht="30" customHeight="1">
      <c r="B382" s="12" t="inlineStr">
        <is>
          <t>Primary</t>
        </is>
      </c>
      <c r="C382" s="28" t="inlineStr">
        <is>
          <t>Looks like</t>
        </is>
      </c>
      <c r="D382" s="19" t="inlineStr">
        <is>
          <t>FI date at 4% vs 3% withdrawal</t>
        </is>
      </c>
      <c r="E382" s="19" t="inlineStr">
        <is>
          <t>2% vs 3% inflation</t>
        </is>
      </c>
      <c r="F382" s="19" t="inlineStr">
        <is>
          <t>6% / 7% / 8% / 12% return</t>
        </is>
      </c>
      <c r="G382" s="19" t="inlineStr">
        <is>
          <t>Biggest mover</t>
        </is>
      </c>
    </row>
    <row r="383" ht="16" customHeight="1">
      <c r="B383" s="12" t="n"/>
      <c r="C383" s="28" t="inlineStr">
        <is>
          <t>Type</t>
        </is>
      </c>
      <c r="D383" s="29" t="inlineStr">
        <is>
          <t>Computed</t>
        </is>
      </c>
      <c r="E383" s="29" t="inlineStr">
        <is>
          <t>Computed</t>
        </is>
      </c>
      <c r="F383" s="29" t="inlineStr">
        <is>
          <t>Computed</t>
        </is>
      </c>
      <c r="G383" s="29" t="inlineStr">
        <is>
          <t>Computed</t>
        </is>
      </c>
    </row>
    <row r="384" ht="40" customHeight="1">
      <c r="B384" s="12" t="n"/>
      <c r="C384" s="28" t="inlineStr">
        <is>
          <t>What it does</t>
        </is>
      </c>
      <c r="D384" s="30" t="inlineStr">
        <is>
          <t>Side by side</t>
        </is>
      </c>
      <c r="E384" s="30" t="n"/>
      <c r="F384" s="30" t="inlineStr">
        <is>
          <t>Four FI dates in a row</t>
        </is>
      </c>
      <c r="G384" s="30" t="inlineStr">
        <is>
          <t>Which assumption moves the date most</t>
        </is>
      </c>
    </row>
    <row r="386">
      <c r="A386" s="25" t="inlineStr">
        <is>
          <t>Goals › Milestone row</t>
        </is>
      </c>
      <c r="B386" s="26" t="n"/>
      <c r="C386" s="26" t="n"/>
      <c r="D386" s="26" t="n"/>
      <c r="E386" s="26" t="n"/>
      <c r="F386" s="26" t="n"/>
      <c r="G386" s="26" t="n"/>
      <c r="H386" s="26" t="n"/>
      <c r="I386" s="26" t="n"/>
      <c r="J386" s="26" t="n"/>
      <c r="K386" s="26" t="n"/>
      <c r="L386" s="26" t="n"/>
      <c r="M386" s="26" t="n"/>
      <c r="N386" s="26" t="n"/>
      <c r="O386" s="26" t="n"/>
    </row>
    <row r="387" ht="30" customHeight="1">
      <c r="B387" s="12" t="inlineStr">
        <is>
          <t>Primary</t>
        </is>
      </c>
      <c r="C387" s="28" t="inlineStr">
        <is>
          <t>Looks like</t>
        </is>
      </c>
      <c r="D387" s="14" t="inlineStr">
        <is>
          <t>Milestone ▾</t>
        </is>
      </c>
      <c r="E387" s="14" t="inlineStr">
        <is>
          <t>At a date | When true</t>
        </is>
      </c>
      <c r="F387" s="13" t="inlineStr">
        <is>
          <t>Date or condition</t>
        </is>
      </c>
      <c r="G387" s="19" t="inlineStr">
        <is>
          <t>Projected date</t>
        </is>
      </c>
      <c r="H387" s="16" t="inlineStr">
        <is>
          <t>⧉</t>
        </is>
      </c>
      <c r="I387" s="16" t="inlineStr">
        <is>
          <t>↺</t>
        </is>
      </c>
      <c r="J387" s="16" t="inlineStr">
        <is>
          <t>🗑</t>
        </is>
      </c>
      <c r="K387" s="18" t="inlineStr">
        <is>
          <t>Status</t>
        </is>
      </c>
    </row>
    <row r="388" ht="16" customHeight="1">
      <c r="B388" s="12" t="n"/>
      <c r="C388" s="28" t="inlineStr">
        <is>
          <t>Type</t>
        </is>
      </c>
      <c r="D388" s="29" t="inlineStr">
        <is>
          <t>Picker</t>
        </is>
      </c>
      <c r="E388" s="29" t="inlineStr">
        <is>
          <t>Toggle</t>
        </is>
      </c>
      <c r="F388" s="29" t="inlineStr">
        <is>
          <t>Field</t>
        </is>
      </c>
      <c r="G388" s="29" t="inlineStr">
        <is>
          <t>Computed</t>
        </is>
      </c>
      <c r="H388" s="29" t="inlineStr">
        <is>
          <t>Icon button</t>
        </is>
      </c>
      <c r="I388" s="29" t="inlineStr">
        <is>
          <t>Icon button</t>
        </is>
      </c>
      <c r="J388" s="29" t="inlineStr">
        <is>
          <t>Icon button</t>
        </is>
      </c>
      <c r="K388" s="29" t="inlineStr">
        <is>
          <t>Status tag</t>
        </is>
      </c>
    </row>
    <row r="389" ht="40" customHeight="1">
      <c r="B389" s="12" t="n"/>
      <c r="C389" s="28" t="inlineStr">
        <is>
          <t>What it does</t>
        </is>
      </c>
      <c r="D389" s="30" t="inlineStr">
        <is>
          <t>Lean FI, Coast FI, Barista FI, Regular FI, Debt free, custom</t>
        </is>
      </c>
      <c r="E389" s="30" t="inlineStr">
        <is>
          <t>Date picker or a condition</t>
        </is>
      </c>
      <c r="F389" s="30" t="n"/>
      <c r="G389" s="30" t="n"/>
      <c r="H389" s="30" t="inlineStr">
        <is>
          <t>Duplicate: copies this row, opens it for editing. Small icon, tooltip on hover</t>
        </is>
      </c>
      <c r="I389" s="30" t="inlineStr">
        <is>
          <t>Reset: clears this row back to blank, keeps the row. Small icon</t>
        </is>
      </c>
      <c r="J389" s="30" t="inlineStr">
        <is>
          <t>Delete: removes the row with an 'Undo' toast for 10 seconds. Small trash can</t>
        </is>
      </c>
      <c r="K389" s="30" t="inlineStr">
        <is>
          <t>Confidence for the whole row; each field can override</t>
        </is>
      </c>
    </row>
    <row r="390" ht="30" customHeight="1">
      <c r="B390" s="12" t="inlineStr">
        <is>
          <t>Secondary</t>
        </is>
      </c>
      <c r="C390" s="28" t="inlineStr">
        <is>
          <t>Looks like</t>
        </is>
      </c>
      <c r="D390" s="15" t="inlineStr">
        <is>
          <t>+ Add milestone</t>
        </is>
      </c>
      <c r="E390" s="13" t="inlineStr">
        <is>
          <t>Part-time income</t>
        </is>
      </c>
    </row>
    <row r="391" ht="16" customHeight="1">
      <c r="B391" s="12" t="n"/>
      <c r="C391" s="28" t="inlineStr">
        <is>
          <t>Type</t>
        </is>
      </c>
      <c r="D391" s="29" t="inlineStr">
        <is>
          <t>Button</t>
        </is>
      </c>
      <c r="E391" s="29" t="inlineStr">
        <is>
          <t>Field</t>
        </is>
      </c>
    </row>
    <row r="392" ht="40" customHeight="1">
      <c r="B392" s="12" t="n"/>
      <c r="C392" s="28" t="inlineStr">
        <is>
          <t>What it does</t>
        </is>
      </c>
      <c r="D392" s="30" t="inlineStr">
        <is>
          <t>Opens milestone picker grid</t>
        </is>
      </c>
      <c r="E392" s="30" t="inlineStr">
        <is>
          <t>Barista FI only</t>
        </is>
      </c>
    </row>
    <row r="394">
      <c r="A394" s="25" t="inlineStr">
        <is>
          <t>Timeline › FI timeline</t>
        </is>
      </c>
      <c r="B394" s="26" t="n"/>
      <c r="C394" s="26" t="n"/>
      <c r="D394" s="26" t="n"/>
      <c r="E394" s="26" t="n"/>
      <c r="F394" s="26" t="n"/>
      <c r="G394" s="26" t="n"/>
      <c r="H394" s="26" t="n"/>
      <c r="I394" s="26" t="n"/>
      <c r="J394" s="26" t="n"/>
      <c r="K394" s="26" t="n"/>
      <c r="L394" s="26" t="n"/>
      <c r="M394" s="26" t="n"/>
      <c r="N394" s="26" t="n"/>
      <c r="O394" s="26" t="n"/>
    </row>
    <row r="395" ht="30" customHeight="1">
      <c r="B395" s="12" t="inlineStr">
        <is>
          <t>Primary</t>
        </is>
      </c>
      <c r="C395" s="28" t="inlineStr">
        <is>
          <t>Looks like</t>
        </is>
      </c>
      <c r="D395" s="22" t="inlineStr">
        <is>
          <t>Net worth over time</t>
        </is>
      </c>
      <c r="E395" s="13" t="inlineStr">
        <is>
          <t>Drag: save more ↔</t>
        </is>
      </c>
      <c r="F395" s="14" t="inlineStr">
        <is>
          <t>Pace: Optimistic | Likely | Pessimistic</t>
        </is>
      </c>
      <c r="G395" s="19" t="inlineStr">
        <is>
          <t>FI date</t>
        </is>
      </c>
    </row>
    <row r="396" ht="16" customHeight="1">
      <c r="B396" s="12" t="n"/>
      <c r="C396" s="28" t="inlineStr">
        <is>
          <t>Type</t>
        </is>
      </c>
      <c r="D396" s="29" t="inlineStr">
        <is>
          <t>Chart</t>
        </is>
      </c>
      <c r="E396" s="29" t="inlineStr">
        <is>
          <t>Field</t>
        </is>
      </c>
      <c r="F396" s="29" t="inlineStr">
        <is>
          <t>Toggle</t>
        </is>
      </c>
      <c r="G396" s="29" t="inlineStr">
        <is>
          <t>Computed</t>
        </is>
      </c>
    </row>
    <row r="397" ht="40" customHeight="1">
      <c r="B397" s="12" t="n"/>
      <c r="C397" s="28" t="inlineStr">
        <is>
          <t>What it does</t>
        </is>
      </c>
      <c r="D397" s="30" t="inlineStr">
        <is>
          <t>Milestones as flags</t>
        </is>
      </c>
      <c r="E397" s="30" t="inlineStr">
        <is>
          <t>Slider, chart moves live</t>
        </is>
      </c>
      <c r="F397" s="30" t="inlineStr">
        <is>
          <t>Triple D bands</t>
        </is>
      </c>
      <c r="G397" s="30" t="n"/>
    </row>
    <row r="398" ht="30" customHeight="1">
      <c r="B398" s="12" t="inlineStr">
        <is>
          <t>Secondary</t>
        </is>
      </c>
      <c r="C398" s="28" t="inlineStr">
        <is>
          <t>Looks like</t>
        </is>
      </c>
      <c r="D398" s="14" t="inlineStr">
        <is>
          <t>Show bands</t>
        </is>
      </c>
      <c r="E398" s="14" t="inlineStr">
        <is>
          <t>Money as time</t>
        </is>
      </c>
    </row>
    <row r="399" ht="16" customHeight="1">
      <c r="B399" s="12" t="n"/>
      <c r="C399" s="28" t="inlineStr">
        <is>
          <t>Type</t>
        </is>
      </c>
      <c r="D399" s="29" t="inlineStr">
        <is>
          <t>Toggle</t>
        </is>
      </c>
      <c r="E399" s="29" t="inlineStr">
        <is>
          <t>Toggle</t>
        </is>
      </c>
    </row>
    <row r="400" ht="40" customHeight="1">
      <c r="B400" s="12" t="n"/>
      <c r="C400" s="28" t="inlineStr">
        <is>
          <t>What it does</t>
        </is>
      </c>
      <c r="D400" s="30" t="inlineStr">
        <is>
          <t>All three paces at once</t>
        </is>
      </c>
      <c r="E400" s="30" t="inlineStr">
        <is>
          <t>Shows costs in hours or FI days</t>
        </is>
      </c>
    </row>
    <row r="402">
      <c r="A402" s="25" t="inlineStr">
        <is>
          <t>Debt › Debt payoff chart</t>
        </is>
      </c>
      <c r="B402" s="26" t="n"/>
      <c r="C402" s="26" t="n"/>
      <c r="D402" s="26" t="n"/>
      <c r="E402" s="26" t="n"/>
      <c r="F402" s="26" t="n"/>
      <c r="G402" s="26" t="n"/>
      <c r="H402" s="26" t="n"/>
      <c r="I402" s="26" t="n"/>
      <c r="J402" s="26" t="n"/>
      <c r="K402" s="26" t="n"/>
      <c r="L402" s="26" t="n"/>
      <c r="M402" s="26" t="n"/>
      <c r="N402" s="26" t="n"/>
      <c r="O402" s="26" t="n"/>
    </row>
    <row r="403" ht="30" customHeight="1">
      <c r="B403" s="12" t="inlineStr">
        <is>
          <t>Primary</t>
        </is>
      </c>
      <c r="C403" s="28" t="inlineStr">
        <is>
          <t>Looks like</t>
        </is>
      </c>
      <c r="D403" s="22" t="inlineStr">
        <is>
          <t>Balance per debt over time</t>
        </is>
      </c>
      <c r="E403" s="14" t="inlineStr">
        <is>
          <t>Order: Avalanche | Snowball | Stress</t>
        </is>
      </c>
      <c r="F403" s="13" t="inlineStr">
        <is>
          <t>Extra $ / mo</t>
        </is>
      </c>
    </row>
    <row r="404" ht="16" customHeight="1">
      <c r="B404" s="12" t="n"/>
      <c r="C404" s="28" t="inlineStr">
        <is>
          <t>Type</t>
        </is>
      </c>
      <c r="D404" s="29" t="inlineStr">
        <is>
          <t>Chart</t>
        </is>
      </c>
      <c r="E404" s="29" t="inlineStr">
        <is>
          <t>Toggle</t>
        </is>
      </c>
      <c r="F404" s="29" t="inlineStr">
        <is>
          <t>Field</t>
        </is>
      </c>
    </row>
    <row r="405" ht="40" customHeight="1">
      <c r="B405" s="12" t="n"/>
      <c r="C405" s="28" t="inlineStr">
        <is>
          <t>What it does</t>
        </is>
      </c>
      <c r="D405" s="30" t="n"/>
      <c r="E405" s="30" t="n"/>
      <c r="F405" s="30" t="inlineStr">
        <is>
          <t>Slider</t>
        </is>
      </c>
    </row>
    <row r="407">
      <c r="A407" s="25" t="inlineStr">
        <is>
          <t>Next 12 months › Upcoming events</t>
        </is>
      </c>
      <c r="B407" s="26" t="n"/>
      <c r="C407" s="26" t="n"/>
      <c r="D407" s="26" t="n"/>
      <c r="E407" s="26" t="n"/>
      <c r="F407" s="26" t="n"/>
      <c r="G407" s="26" t="n"/>
      <c r="H407" s="26" t="n"/>
      <c r="I407" s="26" t="n"/>
      <c r="J407" s="26" t="n"/>
      <c r="K407" s="26" t="n"/>
      <c r="L407" s="26" t="n"/>
      <c r="M407" s="26" t="n"/>
      <c r="N407" s="26" t="n"/>
      <c r="O407" s="27" t="inlineStr">
        <is>
          <t>Simple list now; full scenario blocks later</t>
        </is>
      </c>
    </row>
    <row r="408" ht="30" customHeight="1">
      <c r="B408" s="12" t="inlineStr">
        <is>
          <t>Primary</t>
        </is>
      </c>
      <c r="C408" s="28" t="inlineStr">
        <is>
          <t>Looks like</t>
        </is>
      </c>
      <c r="D408" s="13" t="inlineStr">
        <is>
          <t>Event</t>
        </is>
      </c>
      <c r="E408" s="13" t="inlineStr">
        <is>
          <t>Rough cost $</t>
        </is>
      </c>
      <c r="F408" s="14" t="inlineStr">
        <is>
          <t>Month</t>
        </is>
      </c>
      <c r="G408" s="19" t="inlineStr">
        <is>
          <t>Monthly set-aside</t>
        </is>
      </c>
      <c r="H408" s="16" t="inlineStr">
        <is>
          <t>⧉</t>
        </is>
      </c>
      <c r="I408" s="16" t="inlineStr">
        <is>
          <t>↺</t>
        </is>
      </c>
      <c r="J408" s="16" t="inlineStr">
        <is>
          <t>🗑</t>
        </is>
      </c>
      <c r="K408" s="18" t="inlineStr">
        <is>
          <t>Status</t>
        </is>
      </c>
    </row>
    <row r="409" ht="16" customHeight="1">
      <c r="B409" s="12" t="n"/>
      <c r="C409" s="28" t="inlineStr">
        <is>
          <t>Type</t>
        </is>
      </c>
      <c r="D409" s="29" t="inlineStr">
        <is>
          <t>Field</t>
        </is>
      </c>
      <c r="E409" s="29" t="inlineStr">
        <is>
          <t>Field</t>
        </is>
      </c>
      <c r="F409" s="29" t="inlineStr">
        <is>
          <t>Picker</t>
        </is>
      </c>
      <c r="G409" s="29" t="inlineStr">
        <is>
          <t>Computed</t>
        </is>
      </c>
      <c r="H409" s="29" t="inlineStr">
        <is>
          <t>Icon button</t>
        </is>
      </c>
      <c r="I409" s="29" t="inlineStr">
        <is>
          <t>Icon button</t>
        </is>
      </c>
      <c r="J409" s="29" t="inlineStr">
        <is>
          <t>Icon button</t>
        </is>
      </c>
      <c r="K409" s="29" t="inlineStr">
        <is>
          <t>Status tag</t>
        </is>
      </c>
    </row>
    <row r="410" ht="40" customHeight="1">
      <c r="B410" s="12" t="n"/>
      <c r="C410" s="28" t="inlineStr">
        <is>
          <t>What it does</t>
        </is>
      </c>
      <c r="D410" s="30" t="inlineStr">
        <is>
          <t>Wedding, move, trip, big purchase</t>
        </is>
      </c>
      <c r="E410" s="30" t="n"/>
      <c r="F410" s="30" t="inlineStr">
        <is>
          <t>Lands on the calendar</t>
        </is>
      </c>
      <c r="G410" s="30" t="n"/>
      <c r="H410" s="30" t="inlineStr">
        <is>
          <t>Duplicate: copies this row, opens it for editing. Small icon, tooltip on hover</t>
        </is>
      </c>
      <c r="I410" s="30" t="inlineStr">
        <is>
          <t>Reset: clears this row back to blank, keeps the row. Small icon</t>
        </is>
      </c>
      <c r="J410" s="30" t="inlineStr">
        <is>
          <t>Delete: removes the row with an 'Undo' toast for 10 seconds. Small trash can</t>
        </is>
      </c>
      <c r="K410" s="30" t="inlineStr">
        <is>
          <t>Confidence for the whole row; each field can override</t>
        </is>
      </c>
    </row>
    <row r="412">
      <c r="A412" s="25" t="inlineStr">
        <is>
          <t>Scenarios › Scenario blocks (Later)</t>
        </is>
      </c>
      <c r="B412" s="26" t="n"/>
      <c r="C412" s="26" t="n"/>
      <c r="D412" s="26" t="n"/>
      <c r="E412" s="26" t="n"/>
      <c r="F412" s="26" t="n"/>
      <c r="G412" s="26" t="n"/>
      <c r="H412" s="26" t="n"/>
      <c r="I412" s="26" t="n"/>
      <c r="J412" s="26" t="n"/>
      <c r="K412" s="26" t="n"/>
      <c r="L412" s="26" t="n"/>
      <c r="M412" s="26" t="n"/>
      <c r="N412" s="26" t="n"/>
      <c r="O412" s="26" t="n"/>
    </row>
    <row r="413" ht="30" customHeight="1">
      <c r="B413" s="12" t="inlineStr">
        <is>
          <t>Tertiary</t>
        </is>
      </c>
      <c r="C413" s="28" t="inlineStr">
        <is>
          <t>Looks like</t>
        </is>
      </c>
      <c r="D413" s="15" t="inlineStr">
        <is>
          <t>+ Add life event</t>
        </is>
      </c>
      <c r="E413" s="15" t="inlineStr">
        <is>
          <t>Drag to reorder</t>
        </is>
      </c>
    </row>
    <row r="414" ht="16" customHeight="1">
      <c r="B414" s="12" t="n"/>
      <c r="C414" s="28" t="inlineStr">
        <is>
          <t>Type</t>
        </is>
      </c>
      <c r="D414" s="29" t="inlineStr">
        <is>
          <t>Button</t>
        </is>
      </c>
      <c r="E414" s="29" t="inlineStr">
        <is>
          <t>Button</t>
        </is>
      </c>
    </row>
    <row r="415" ht="40" customHeight="1">
      <c r="B415" s="12" t="n"/>
      <c r="C415" s="28" t="inlineStr">
        <is>
          <t>What it does</t>
        </is>
      </c>
      <c r="D415" s="30" t="inlineStr">
        <is>
          <t>Home, car, kid, job change, sabbatical, move, marriage, side hustle, inheritance</t>
        </is>
      </c>
      <c r="E415" s="30" t="inlineStr">
        <is>
          <t>FI date moves</t>
        </is>
      </c>
    </row>
    <row r="417" ht="22" customHeight="1">
      <c r="A417" s="24" t="inlineStr">
        <is>
          <t>REPORT</t>
        </is>
      </c>
      <c r="B417" s="6" t="n"/>
      <c r="C417" s="6" t="n"/>
      <c r="D417" s="6" t="n"/>
      <c r="E417" s="6" t="n"/>
      <c r="F417" s="6" t="n"/>
      <c r="G417" s="6" t="n"/>
      <c r="H417" s="6" t="n"/>
      <c r="I417" s="6" t="n"/>
      <c r="J417" s="6" t="n"/>
      <c r="K417" s="6" t="n"/>
      <c r="L417" s="6" t="n"/>
      <c r="M417" s="6" t="n"/>
      <c r="N417" s="6" t="n"/>
      <c r="O417" s="6" t="n"/>
    </row>
    <row r="418">
      <c r="A418" s="25" t="inlineStr">
        <is>
          <t>Sub-tabs › Sub-tab bar</t>
        </is>
      </c>
      <c r="B418" s="26" t="n"/>
      <c r="C418" s="26" t="n"/>
      <c r="D418" s="26" t="n"/>
      <c r="E418" s="26" t="n"/>
      <c r="F418" s="26" t="n"/>
      <c r="G418" s="26" t="n"/>
      <c r="H418" s="26" t="n"/>
      <c r="I418" s="26" t="n"/>
      <c r="J418" s="26" t="n"/>
      <c r="K418" s="26" t="n"/>
      <c r="L418" s="26" t="n"/>
      <c r="M418" s="26" t="n"/>
      <c r="N418" s="26" t="n"/>
      <c r="O418" s="26" t="n"/>
    </row>
    <row r="419" ht="30" customHeight="1">
      <c r="B419" s="12" t="inlineStr">
        <is>
          <t>Primary</t>
        </is>
      </c>
      <c r="C419" s="28" t="inlineStr">
        <is>
          <t>Looks like</t>
        </is>
      </c>
      <c r="D419" s="21" t="inlineStr">
        <is>
          <t>Overview</t>
        </is>
      </c>
      <c r="E419" s="21" t="inlineStr">
        <is>
          <t>One-pager</t>
        </is>
      </c>
      <c r="F419" s="21" t="inlineStr">
        <is>
          <t>History</t>
        </is>
      </c>
    </row>
    <row r="420" ht="16" customHeight="1">
      <c r="B420" s="12" t="n"/>
      <c r="C420" s="28" t="inlineStr">
        <is>
          <t>Type</t>
        </is>
      </c>
      <c r="D420" s="29" t="inlineStr">
        <is>
          <t>Tab</t>
        </is>
      </c>
      <c r="E420" s="29" t="inlineStr">
        <is>
          <t>Tab</t>
        </is>
      </c>
      <c r="F420" s="29" t="inlineStr">
        <is>
          <t>Tab</t>
        </is>
      </c>
    </row>
    <row r="421" ht="40" customHeight="1">
      <c r="B421" s="12" t="n"/>
      <c r="C421" s="28" t="inlineStr">
        <is>
          <t>What it does</t>
        </is>
      </c>
      <c r="D421" s="30" t="inlineStr">
        <is>
          <t>Net worth, metrics, Sankey</t>
        </is>
      </c>
      <c r="E421" s="30" t="inlineStr">
        <is>
          <t>Session summary</t>
        </is>
      </c>
      <c r="F421" s="30" t="inlineStr">
        <is>
          <t>Snapshots over time; Wrapped later</t>
        </is>
      </c>
    </row>
    <row r="423">
      <c r="A423" s="25" t="inlineStr">
        <is>
          <t>Overview › Net worth donuts</t>
        </is>
      </c>
      <c r="B423" s="26" t="n"/>
      <c r="C423" s="26" t="n"/>
      <c r="D423" s="26" t="n"/>
      <c r="E423" s="26" t="n"/>
      <c r="F423" s="26" t="n"/>
      <c r="G423" s="26" t="n"/>
      <c r="H423" s="26" t="n"/>
      <c r="I423" s="26" t="n"/>
      <c r="J423" s="26" t="n"/>
      <c r="K423" s="26" t="n"/>
      <c r="L423" s="26" t="n"/>
      <c r="M423" s="26" t="n"/>
      <c r="N423" s="26" t="n"/>
      <c r="O423" s="26" t="n"/>
    </row>
    <row r="424" ht="30" customHeight="1">
      <c r="B424" s="12" t="inlineStr">
        <is>
          <t>Primary</t>
        </is>
      </c>
      <c r="C424" s="28" t="inlineStr">
        <is>
          <t>Looks like</t>
        </is>
      </c>
      <c r="D424" s="22" t="inlineStr">
        <is>
          <t>Net worth</t>
        </is>
      </c>
      <c r="E424" s="22" t="inlineStr">
        <is>
          <t>Assets</t>
        </is>
      </c>
      <c r="F424" s="22" t="inlineStr">
        <is>
          <t>Liabilities</t>
        </is>
      </c>
      <c r="G424" s="14" t="inlineStr">
        <is>
          <t>Liquid vs total</t>
        </is>
      </c>
    </row>
    <row r="425" ht="16" customHeight="1">
      <c r="B425" s="12" t="n"/>
      <c r="C425" s="28" t="inlineStr">
        <is>
          <t>Type</t>
        </is>
      </c>
      <c r="D425" s="29" t="inlineStr">
        <is>
          <t>Chart</t>
        </is>
      </c>
      <c r="E425" s="29" t="inlineStr">
        <is>
          <t>Chart</t>
        </is>
      </c>
      <c r="F425" s="29" t="inlineStr">
        <is>
          <t>Chart</t>
        </is>
      </c>
      <c r="G425" s="29" t="inlineStr">
        <is>
          <t>Toggle</t>
        </is>
      </c>
    </row>
    <row r="426" ht="40" customHeight="1">
      <c r="B426" s="12" t="n"/>
      <c r="C426" s="28" t="inlineStr">
        <is>
          <t>What it does</t>
        </is>
      </c>
      <c r="D426" s="30" t="n"/>
      <c r="E426" s="30" t="n"/>
      <c r="F426" s="30" t="n"/>
      <c r="G426" s="30" t="n"/>
    </row>
    <row r="427" ht="30" customHeight="1">
      <c r="B427" s="12" t="inlineStr">
        <is>
          <t>Secondary</t>
        </is>
      </c>
      <c r="C427" s="28" t="inlineStr">
        <is>
          <t>Looks like</t>
        </is>
      </c>
      <c r="D427" s="21" t="inlineStr">
        <is>
          <t>Savings | Investments | Real assets | Debts | About you</t>
        </is>
      </c>
    </row>
    <row r="428" ht="16" customHeight="1">
      <c r="B428" s="12" t="n"/>
      <c r="C428" s="28" t="inlineStr">
        <is>
          <t>Type</t>
        </is>
      </c>
      <c r="D428" s="29" t="inlineStr">
        <is>
          <t>Tab</t>
        </is>
      </c>
    </row>
    <row r="429" ht="40" customHeight="1">
      <c r="B429" s="12" t="n"/>
      <c r="C429" s="28" t="inlineStr">
        <is>
          <t>What it does</t>
        </is>
      </c>
      <c r="D429" s="30" t="inlineStr">
        <is>
          <t>Each tab shows the same rows as My Money</t>
        </is>
      </c>
    </row>
    <row r="431">
      <c r="A431" s="25" t="inlineStr">
        <is>
          <t>Overview › Metrics unlocked shelf</t>
        </is>
      </c>
      <c r="B431" s="26" t="n"/>
      <c r="C431" s="26" t="n"/>
      <c r="D431" s="26" t="n"/>
      <c r="E431" s="26" t="n"/>
      <c r="F431" s="26" t="n"/>
      <c r="G431" s="26" t="n"/>
      <c r="H431" s="26" t="n"/>
      <c r="I431" s="26" t="n"/>
      <c r="J431" s="26" t="n"/>
      <c r="K431" s="26" t="n"/>
      <c r="L431" s="26" t="n"/>
      <c r="M431" s="26" t="n"/>
      <c r="N431" s="26" t="n"/>
      <c r="O431" s="26" t="n"/>
    </row>
    <row r="432" ht="30" customHeight="1">
      <c r="B432" s="12" t="inlineStr">
        <is>
          <t>Primary</t>
        </is>
      </c>
      <c r="C432" s="28" t="inlineStr">
        <is>
          <t>Looks like</t>
        </is>
      </c>
      <c r="D432" s="23" t="inlineStr">
        <is>
          <t>Savings rate</t>
        </is>
      </c>
      <c r="E432" s="23" t="inlineStr">
        <is>
          <t>DRAFTT</t>
        </is>
      </c>
      <c r="F432" s="23" t="inlineStr">
        <is>
          <t>Debt-to-income</t>
        </is>
      </c>
      <c r="G432" s="23" t="inlineStr">
        <is>
          <t>Housing % (35% line)</t>
        </is>
      </c>
      <c r="H432" s="23" t="inlineStr">
        <is>
          <t>Rule of 5</t>
        </is>
      </c>
      <c r="I432" s="23" t="inlineStr">
        <is>
          <t>Tax rate</t>
        </is>
      </c>
      <c r="J432" s="23" t="inlineStr">
        <is>
          <t>% to Lean / Coast / Barista / FI</t>
        </is>
      </c>
    </row>
    <row r="433" ht="16" customHeight="1">
      <c r="B433" s="12" t="n"/>
      <c r="C433" s="28" t="inlineStr">
        <is>
          <t>Type</t>
        </is>
      </c>
      <c r="D433" s="29" t="inlineStr">
        <is>
          <t>Card</t>
        </is>
      </c>
      <c r="E433" s="29" t="inlineStr">
        <is>
          <t>Card</t>
        </is>
      </c>
      <c r="F433" s="29" t="inlineStr">
        <is>
          <t>Card</t>
        </is>
      </c>
      <c r="G433" s="29" t="inlineStr">
        <is>
          <t>Card</t>
        </is>
      </c>
      <c r="H433" s="29" t="inlineStr">
        <is>
          <t>Card</t>
        </is>
      </c>
      <c r="I433" s="29" t="inlineStr">
        <is>
          <t>Card</t>
        </is>
      </c>
      <c r="J433" s="29" t="inlineStr">
        <is>
          <t>Card</t>
        </is>
      </c>
    </row>
    <row r="434" ht="40" customHeight="1">
      <c r="B434" s="12" t="n"/>
      <c r="C434" s="28" t="inlineStr">
        <is>
          <t>What it does</t>
        </is>
      </c>
      <c r="D434" s="30" t="inlineStr">
        <is>
          <t>Lit when inputs exist</t>
        </is>
      </c>
      <c r="E434" s="30" t="n"/>
      <c r="F434" s="30" t="n"/>
      <c r="G434" s="30" t="n"/>
      <c r="H434" s="30" t="n"/>
      <c r="I434" s="30" t="n"/>
      <c r="J434" s="30" t="n"/>
    </row>
    <row r="435" ht="30" customHeight="1">
      <c r="B435" s="12" t="inlineStr">
        <is>
          <t>Secondary</t>
        </is>
      </c>
      <c r="C435" s="28" t="inlineStr">
        <is>
          <t>Looks like</t>
        </is>
      </c>
      <c r="D435" s="15" t="inlineStr">
        <is>
          <t>Locked: needs 2 numbers ›</t>
        </is>
      </c>
    </row>
    <row r="436" ht="16" customHeight="1">
      <c r="B436" s="12" t="n"/>
      <c r="C436" s="28" t="inlineStr">
        <is>
          <t>Type</t>
        </is>
      </c>
      <c r="D436" s="29" t="inlineStr">
        <is>
          <t>Button</t>
        </is>
      </c>
    </row>
    <row r="437" ht="40" customHeight="1">
      <c r="B437" s="12" t="n"/>
      <c r="C437" s="28" t="inlineStr">
        <is>
          <t>What it does</t>
        </is>
      </c>
      <c r="D437" s="30" t="inlineStr">
        <is>
          <t>Jumps to the missing inputs</t>
        </is>
      </c>
    </row>
    <row r="439">
      <c r="A439" s="25" t="inlineStr">
        <is>
          <t>Overview › Cash flow Sankey</t>
        </is>
      </c>
      <c r="B439" s="26" t="n"/>
      <c r="C439" s="26" t="n"/>
      <c r="D439" s="26" t="n"/>
      <c r="E439" s="26" t="n"/>
      <c r="F439" s="26" t="n"/>
      <c r="G439" s="26" t="n"/>
      <c r="H439" s="26" t="n"/>
      <c r="I439" s="26" t="n"/>
      <c r="J439" s="26" t="n"/>
      <c r="K439" s="26" t="n"/>
      <c r="L439" s="26" t="n"/>
      <c r="M439" s="26" t="n"/>
      <c r="N439" s="26" t="n"/>
      <c r="O439" s="26" t="n"/>
    </row>
    <row r="440" ht="30" customHeight="1">
      <c r="B440" s="12" t="inlineStr">
        <is>
          <t>Primary</t>
        </is>
      </c>
      <c r="C440" s="28" t="inlineStr">
        <is>
          <t>Looks like</t>
        </is>
      </c>
      <c r="D440" s="22" t="inlineStr">
        <is>
          <t>Income → spending → saving</t>
        </is>
      </c>
    </row>
    <row r="441" ht="16" customHeight="1">
      <c r="B441" s="12" t="n"/>
      <c r="C441" s="28" t="inlineStr">
        <is>
          <t>Type</t>
        </is>
      </c>
      <c r="D441" s="29" t="inlineStr">
        <is>
          <t>Chart</t>
        </is>
      </c>
    </row>
    <row r="442" ht="40" customHeight="1">
      <c r="B442" s="12" t="n"/>
      <c r="C442" s="28" t="inlineStr">
        <is>
          <t>What it does</t>
        </is>
      </c>
      <c r="D442" s="30" t="n"/>
    </row>
    <row r="444">
      <c r="A444" s="25" t="inlineStr">
        <is>
          <t>One-pager › One-pager</t>
        </is>
      </c>
      <c r="B444" s="26" t="n"/>
      <c r="C444" s="26" t="n"/>
      <c r="D444" s="26" t="n"/>
      <c r="E444" s="26" t="n"/>
      <c r="F444" s="26" t="n"/>
      <c r="G444" s="26" t="n"/>
      <c r="H444" s="26" t="n"/>
      <c r="I444" s="26" t="n"/>
      <c r="J444" s="26" t="n"/>
      <c r="K444" s="26" t="n"/>
      <c r="L444" s="26" t="n"/>
      <c r="M444" s="26" t="n"/>
      <c r="N444" s="26" t="n"/>
      <c r="O444" s="26" t="n"/>
    </row>
    <row r="445" ht="30" customHeight="1">
      <c r="B445" s="12" t="inlineStr">
        <is>
          <t>Primary</t>
        </is>
      </c>
      <c r="C445" s="28" t="inlineStr">
        <is>
          <t>Looks like</t>
        </is>
      </c>
      <c r="D445" s="23" t="inlineStr">
        <is>
          <t>Key stats</t>
        </is>
      </c>
      <c r="E445" s="23" t="inlineStr">
        <is>
          <t>To-dos</t>
        </is>
      </c>
      <c r="F445" s="23" t="inlineStr">
        <is>
          <t>Goals</t>
        </is>
      </c>
      <c r="G445" s="13" t="inlineStr">
        <is>
          <t>Strengths / Struggles</t>
        </is>
      </c>
      <c r="H445" s="13" t="inlineStr">
        <is>
          <t>Do more / Do less</t>
        </is>
      </c>
      <c r="I445" s="15" t="inlineStr">
        <is>
          <t>Export PDF</t>
        </is>
      </c>
      <c r="J445" s="15" t="inlineStr">
        <is>
          <t>Send summary</t>
        </is>
      </c>
    </row>
    <row r="446" ht="16" customHeight="1">
      <c r="B446" s="12" t="n"/>
      <c r="C446" s="28" t="inlineStr">
        <is>
          <t>Type</t>
        </is>
      </c>
      <c r="D446" s="29" t="inlineStr">
        <is>
          <t>Card</t>
        </is>
      </c>
      <c r="E446" s="29" t="inlineStr">
        <is>
          <t>Card</t>
        </is>
      </c>
      <c r="F446" s="29" t="inlineStr">
        <is>
          <t>Card</t>
        </is>
      </c>
      <c r="G446" s="29" t="inlineStr">
        <is>
          <t>Field</t>
        </is>
      </c>
      <c r="H446" s="29" t="inlineStr">
        <is>
          <t>Field</t>
        </is>
      </c>
      <c r="I446" s="29" t="inlineStr">
        <is>
          <t>Button</t>
        </is>
      </c>
      <c r="J446" s="29" t="inlineStr">
        <is>
          <t>Button</t>
        </is>
      </c>
    </row>
    <row r="447" ht="40" customHeight="1">
      <c r="B447" s="12" t="n"/>
      <c r="C447" s="28" t="inlineStr">
        <is>
          <t>What it does</t>
        </is>
      </c>
      <c r="D447" s="30" t="inlineStr">
        <is>
          <t>Auto</t>
        </is>
      </c>
      <c r="E447" s="30" t="inlineStr">
        <is>
          <t>From homework</t>
        </is>
      </c>
      <c r="F447" s="30" t="n"/>
      <c r="G447" s="30" t="inlineStr">
        <is>
          <t>Two boxes</t>
        </is>
      </c>
      <c r="H447" s="30" t="inlineStr">
        <is>
          <t>Two boxes</t>
        </is>
      </c>
      <c r="I447" s="30" t="n"/>
      <c r="J447" s="30" t="inlineStr">
        <is>
          <t>One-pager plus homework, ready to email</t>
        </is>
      </c>
    </row>
    <row r="448" ht="30" customHeight="1">
      <c r="B448" s="12" t="inlineStr">
        <is>
          <t>Secondary</t>
        </is>
      </c>
      <c r="C448" s="28" t="inlineStr">
        <is>
          <t>Looks like</t>
        </is>
      </c>
      <c r="D448" s="20" t="inlineStr">
        <is>
          <t>Disclaimer line</t>
        </is>
      </c>
    </row>
    <row r="449" ht="16" customHeight="1">
      <c r="B449" s="12" t="n"/>
      <c r="C449" s="28" t="inlineStr">
        <is>
          <t>Type</t>
        </is>
      </c>
      <c r="D449" s="29" t="inlineStr">
        <is>
          <t>Label</t>
        </is>
      </c>
    </row>
    <row r="450" ht="40" customHeight="1">
      <c r="B450" s="12" t="n"/>
      <c r="C450" s="28" t="inlineStr">
        <is>
          <t>What it does</t>
        </is>
      </c>
      <c r="D450" s="30" t="inlineStr">
        <is>
          <t>Coach, not a licensed financial advisor. Also on the pre-call form</t>
        </is>
      </c>
    </row>
    <row r="452" ht="22" customHeight="1">
      <c r="A452" s="24" t="inlineStr">
        <is>
          <t>DISCOVERY (SALES CALL)</t>
        </is>
      </c>
      <c r="B452" s="6" t="n"/>
      <c r="C452" s="6" t="n"/>
      <c r="D452" s="6" t="n"/>
      <c r="E452" s="6" t="n"/>
      <c r="F452" s="6" t="n"/>
      <c r="G452" s="6" t="n"/>
      <c r="H452" s="6" t="n"/>
      <c r="I452" s="6" t="n"/>
      <c r="J452" s="6" t="n"/>
      <c r="K452" s="6" t="n"/>
      <c r="L452" s="6" t="n"/>
      <c r="M452" s="6" t="n"/>
      <c r="N452" s="6" t="n"/>
      <c r="O452" s="6" t="n"/>
    </row>
    <row r="453">
      <c r="A453" s="25" t="inlineStr">
        <is>
          <t>Table › Discovery table</t>
        </is>
      </c>
      <c r="B453" s="26" t="n"/>
      <c r="C453" s="26" t="n"/>
      <c r="D453" s="26" t="n"/>
      <c r="E453" s="26" t="n"/>
      <c r="F453" s="26" t="n"/>
      <c r="G453" s="26" t="n"/>
      <c r="H453" s="26" t="n"/>
      <c r="I453" s="26" t="n"/>
      <c r="J453" s="26" t="n"/>
      <c r="K453" s="26" t="n"/>
      <c r="L453" s="26" t="n"/>
      <c r="M453" s="26" t="n"/>
      <c r="N453" s="26" t="n"/>
      <c r="O453" s="26" t="n"/>
    </row>
    <row r="454" ht="30" customHeight="1">
      <c r="B454" s="12" t="inlineStr">
        <is>
          <t>Primary</t>
        </is>
      </c>
      <c r="C454" s="28" t="inlineStr">
        <is>
          <t>Looks like</t>
        </is>
      </c>
      <c r="D454" s="13" t="inlineStr">
        <is>
          <t>Take-home</t>
        </is>
      </c>
      <c r="E454" s="13" t="inlineStr">
        <is>
          <t>Rent</t>
        </is>
      </c>
      <c r="F454" s="13" t="inlineStr">
        <is>
          <t>Total debt</t>
        </is>
      </c>
      <c r="G454" s="13" t="inlineStr">
        <is>
          <t>Savings</t>
        </is>
      </c>
      <c r="H454" s="13" t="inlineStr">
        <is>
          <t>Goal</t>
        </is>
      </c>
      <c r="I454" s="13" t="inlineStr">
        <is>
          <t>Why now</t>
        </is>
      </c>
      <c r="J454" s="15" t="inlineStr">
        <is>
          <t>Send to client file</t>
        </is>
      </c>
    </row>
    <row r="455" ht="16" customHeight="1">
      <c r="B455" s="12" t="n"/>
      <c r="C455" s="28" t="inlineStr">
        <is>
          <t>Type</t>
        </is>
      </c>
      <c r="D455" s="29" t="inlineStr">
        <is>
          <t>Field</t>
        </is>
      </c>
      <c r="E455" s="29" t="inlineStr">
        <is>
          <t>Field</t>
        </is>
      </c>
      <c r="F455" s="29" t="inlineStr">
        <is>
          <t>Field</t>
        </is>
      </c>
      <c r="G455" s="29" t="inlineStr">
        <is>
          <t>Field</t>
        </is>
      </c>
      <c r="H455" s="29" t="inlineStr">
        <is>
          <t>Field</t>
        </is>
      </c>
      <c r="I455" s="29" t="inlineStr">
        <is>
          <t>Field</t>
        </is>
      </c>
      <c r="J455" s="29" t="inlineStr">
        <is>
          <t>Button</t>
        </is>
      </c>
    </row>
    <row r="456" ht="40" customHeight="1">
      <c r="B456" s="12" t="n"/>
      <c r="C456" s="28" t="inlineStr">
        <is>
          <t>What it does</t>
        </is>
      </c>
      <c r="D456" s="30" t="inlineStr">
        <is>
          <t>Each box fills the matching field</t>
        </is>
      </c>
      <c r="E456" s="30" t="n"/>
      <c r="F456" s="30" t="n"/>
      <c r="G456" s="30" t="n"/>
      <c r="H456" s="30" t="n"/>
      <c r="I456" s="30" t="n"/>
      <c r="J456" s="30" t="inlineStr">
        <is>
          <t>Creates the client and fills the map</t>
        </is>
      </c>
    </row>
    <row r="458" ht="22" customHeight="1">
      <c r="A458" s="24" t="inlineStr">
        <is>
          <t>PRE-CALL FORM (CLIENT)</t>
        </is>
      </c>
      <c r="B458" s="6" t="n"/>
      <c r="C458" s="6" t="n"/>
      <c r="D458" s="6" t="n"/>
      <c r="E458" s="6" t="n"/>
      <c r="F458" s="6" t="n"/>
      <c r="G458" s="6" t="n"/>
      <c r="H458" s="6" t="n"/>
      <c r="I458" s="6" t="n"/>
      <c r="J458" s="6" t="n"/>
      <c r="K458" s="6" t="n"/>
      <c r="L458" s="6" t="n"/>
      <c r="M458" s="6" t="n"/>
      <c r="N458" s="6" t="n"/>
      <c r="O458" s="6" t="n"/>
    </row>
    <row r="459">
      <c r="A459" s="25" t="inlineStr">
        <is>
          <t>Link › Form</t>
        </is>
      </c>
      <c r="B459" s="26" t="n"/>
      <c r="C459" s="26" t="n"/>
      <c r="D459" s="26" t="n"/>
      <c r="E459" s="26" t="n"/>
      <c r="F459" s="26" t="n"/>
      <c r="G459" s="26" t="n"/>
      <c r="H459" s="26" t="n"/>
      <c r="I459" s="26" t="n"/>
      <c r="J459" s="26" t="n"/>
      <c r="K459" s="26" t="n"/>
      <c r="L459" s="26" t="n"/>
      <c r="M459" s="26" t="n"/>
      <c r="N459" s="26" t="n"/>
      <c r="O459" s="26" t="n"/>
    </row>
    <row r="460" ht="30" customHeight="1">
      <c r="B460" s="12" t="inlineStr">
        <is>
          <t>Primary</t>
        </is>
      </c>
      <c r="C460" s="28" t="inlineStr">
        <is>
          <t>Looks like</t>
        </is>
      </c>
      <c r="D460" s="15" t="inlineStr">
        <is>
          <t>Send pre-call link</t>
        </is>
      </c>
      <c r="E460" s="23" t="inlineStr">
        <is>
          <t>Tap-only questions</t>
        </is>
      </c>
      <c r="F460" s="15" t="inlineStr">
        <is>
          <t>Save and finish later</t>
        </is>
      </c>
      <c r="G460" s="15" t="inlineStr">
        <is>
          <t>Submit</t>
        </is>
      </c>
    </row>
    <row r="461" ht="16" customHeight="1">
      <c r="B461" s="12" t="n"/>
      <c r="C461" s="28" t="inlineStr">
        <is>
          <t>Type</t>
        </is>
      </c>
      <c r="D461" s="29" t="inlineStr">
        <is>
          <t>Button</t>
        </is>
      </c>
      <c r="E461" s="29" t="inlineStr">
        <is>
          <t>Card</t>
        </is>
      </c>
      <c r="F461" s="29" t="inlineStr">
        <is>
          <t>Button</t>
        </is>
      </c>
      <c r="G461" s="29" t="inlineStr">
        <is>
          <t>Button</t>
        </is>
      </c>
    </row>
    <row r="462" ht="40" customHeight="1">
      <c r="B462" s="12" t="n"/>
      <c r="C462" s="28" t="inlineStr">
        <is>
          <t>What it does</t>
        </is>
      </c>
      <c r="D462" s="30" t="inlineStr">
        <is>
          <t>From the gear; client gets a link</t>
        </is>
      </c>
      <c r="E462" s="30" t="inlineStr">
        <is>
          <t>Profile and Accounts gate questions, big buttons</t>
        </is>
      </c>
      <c r="F462" s="30" t="n"/>
      <c r="G462" s="30" t="inlineStr">
        <is>
          <t>Answers land in the client's file, marked Client</t>
        </is>
      </c>
    </row>
    <row r="463" ht="30" customHeight="1">
      <c r="B463" s="12" t="inlineStr">
        <is>
          <t>Secondary</t>
        </is>
      </c>
      <c r="C463" s="28" t="inlineStr">
        <is>
          <t>Looks like</t>
        </is>
      </c>
      <c r="D463" s="20" t="inlineStr">
        <is>
          <t>Disclaimer and privacy</t>
        </is>
      </c>
      <c r="E463" s="19" t="inlineStr">
        <is>
          <t>Progress: 4 of 9</t>
        </is>
      </c>
    </row>
    <row r="464" ht="16" customHeight="1">
      <c r="B464" s="12" t="n"/>
      <c r="C464" s="28" t="inlineStr">
        <is>
          <t>Type</t>
        </is>
      </c>
      <c r="D464" s="29" t="inlineStr">
        <is>
          <t>Label</t>
        </is>
      </c>
      <c r="E464" s="29" t="inlineStr">
        <is>
          <t>Computed</t>
        </is>
      </c>
    </row>
    <row r="465" ht="40" customHeight="1">
      <c r="B465" s="12" t="n"/>
      <c r="C465" s="28" t="inlineStr">
        <is>
          <t>What it does</t>
        </is>
      </c>
      <c r="D465" s="30" t="inlineStr">
        <is>
          <t>Shown before the first question</t>
        </is>
      </c>
      <c r="E465" s="30" t="n"/>
    </row>
    <row r="467" ht="22" customHeight="1">
      <c r="A467" s="24" t="inlineStr">
        <is>
          <t>COACH TOOLS (⚙)</t>
        </is>
      </c>
      <c r="B467" s="6" t="n"/>
      <c r="C467" s="6" t="n"/>
      <c r="D467" s="6" t="n"/>
      <c r="E467" s="6" t="n"/>
      <c r="F467" s="6" t="n"/>
      <c r="G467" s="6" t="n"/>
      <c r="H467" s="6" t="n"/>
      <c r="I467" s="6" t="n"/>
      <c r="J467" s="6" t="n"/>
      <c r="K467" s="6" t="n"/>
      <c r="L467" s="6" t="n"/>
      <c r="M467" s="6" t="n"/>
      <c r="N467" s="6" t="n"/>
      <c r="O467" s="6" t="n"/>
    </row>
    <row r="468">
      <c r="A468" s="25" t="inlineStr">
        <is>
          <t>Lists › Revisit list</t>
        </is>
      </c>
      <c r="B468" s="26" t="n"/>
      <c r="C468" s="26" t="n"/>
      <c r="D468" s="26" t="n"/>
      <c r="E468" s="26" t="n"/>
      <c r="F468" s="26" t="n"/>
      <c r="G468" s="26" t="n"/>
      <c r="H468" s="26" t="n"/>
      <c r="I468" s="26" t="n"/>
      <c r="J468" s="26" t="n"/>
      <c r="K468" s="26" t="n"/>
      <c r="L468" s="26" t="n"/>
      <c r="M468" s="26" t="n"/>
      <c r="N468" s="26" t="n"/>
      <c r="O468" s="26" t="n"/>
    </row>
    <row r="469" ht="30" customHeight="1">
      <c r="B469" s="12" t="inlineStr">
        <is>
          <t>Primary</t>
        </is>
      </c>
      <c r="C469" s="28" t="inlineStr">
        <is>
          <t>Looks like</t>
        </is>
      </c>
      <c r="D469" s="23" t="inlineStr">
        <is>
          <t>Every rough or not sure number</t>
        </is>
      </c>
      <c r="E469" s="19" t="inlineStr">
        <is>
          <t>Next check date</t>
        </is>
      </c>
      <c r="F469" s="15" t="inlineStr">
        <is>
          <t>Fix now</t>
        </is>
      </c>
    </row>
    <row r="470" ht="16" customHeight="1">
      <c r="B470" s="12" t="n"/>
      <c r="C470" s="28" t="inlineStr">
        <is>
          <t>Type</t>
        </is>
      </c>
      <c r="D470" s="29" t="inlineStr">
        <is>
          <t>Card</t>
        </is>
      </c>
      <c r="E470" s="29" t="inlineStr">
        <is>
          <t>Computed</t>
        </is>
      </c>
      <c r="F470" s="29" t="inlineStr">
        <is>
          <t>Button</t>
        </is>
      </c>
    </row>
    <row r="471" ht="40" customHeight="1">
      <c r="B471" s="12" t="n"/>
      <c r="C471" s="28" t="inlineStr">
        <is>
          <t>What it does</t>
        </is>
      </c>
      <c r="D471" s="30" t="inlineStr">
        <is>
          <t>One list across all sections</t>
        </is>
      </c>
      <c r="E471" s="30" t="n"/>
      <c r="F471" s="30" t="inlineStr">
        <is>
          <t>Jumps to the field</t>
        </is>
      </c>
    </row>
    <row r="473">
      <c r="A473" s="25" t="inlineStr">
        <is>
          <t>Lists › Homework list</t>
        </is>
      </c>
      <c r="B473" s="26" t="n"/>
      <c r="C473" s="26" t="n"/>
      <c r="D473" s="26" t="n"/>
      <c r="E473" s="26" t="n"/>
      <c r="F473" s="26" t="n"/>
      <c r="G473" s="26" t="n"/>
      <c r="H473" s="26" t="n"/>
      <c r="I473" s="26" t="n"/>
      <c r="J473" s="26" t="n"/>
      <c r="K473" s="26" t="n"/>
      <c r="L473" s="26" t="n"/>
      <c r="M473" s="26" t="n"/>
      <c r="N473" s="26" t="n"/>
      <c r="O473" s="26" t="n"/>
    </row>
    <row r="474" ht="30" customHeight="1">
      <c r="B474" s="12" t="inlineStr">
        <is>
          <t>Primary</t>
        </is>
      </c>
      <c r="C474" s="28" t="inlineStr">
        <is>
          <t>Looks like</t>
        </is>
      </c>
      <c r="D474" s="23" t="inlineStr">
        <is>
          <t>Items marked Will email</t>
        </is>
      </c>
      <c r="E474" s="14" t="inlineStr">
        <is>
          <t>Due date</t>
        </is>
      </c>
      <c r="F474" s="15" t="inlineStr">
        <is>
          <t>Send to client</t>
        </is>
      </c>
    </row>
    <row r="475" ht="16" customHeight="1">
      <c r="B475" s="12" t="n"/>
      <c r="C475" s="28" t="inlineStr">
        <is>
          <t>Type</t>
        </is>
      </c>
      <c r="D475" s="29" t="inlineStr">
        <is>
          <t>Card</t>
        </is>
      </c>
      <c r="E475" s="29" t="inlineStr">
        <is>
          <t>Picker</t>
        </is>
      </c>
      <c r="F475" s="29" t="inlineStr">
        <is>
          <t>Button</t>
        </is>
      </c>
    </row>
    <row r="476" ht="40" customHeight="1">
      <c r="B476" s="12" t="n"/>
      <c r="C476" s="28" t="inlineStr">
        <is>
          <t>What it does</t>
        </is>
      </c>
      <c r="D476" s="30" t="n"/>
      <c r="E476" s="30" t="n"/>
      <c r="F476" s="30" t="inlineStr">
        <is>
          <t>Copies a clean list</t>
        </is>
      </c>
    </row>
    <row r="478">
      <c r="A478" s="25" t="inlineStr">
        <is>
          <t>Data › Export and import</t>
        </is>
      </c>
      <c r="B478" s="26" t="n"/>
      <c r="C478" s="26" t="n"/>
      <c r="D478" s="26" t="n"/>
      <c r="E478" s="26" t="n"/>
      <c r="F478" s="26" t="n"/>
      <c r="G478" s="26" t="n"/>
      <c r="H478" s="26" t="n"/>
      <c r="I478" s="26" t="n"/>
      <c r="J478" s="26" t="n"/>
      <c r="K478" s="26" t="n"/>
      <c r="L478" s="26" t="n"/>
      <c r="M478" s="26" t="n"/>
      <c r="N478" s="26" t="n"/>
      <c r="O478" s="26" t="n"/>
    </row>
    <row r="479" ht="30" customHeight="1">
      <c r="B479" s="12" t="inlineStr">
        <is>
          <t>Primary</t>
        </is>
      </c>
      <c r="C479" s="28" t="inlineStr">
        <is>
          <t>Looks like</t>
        </is>
      </c>
      <c r="D479" s="15" t="inlineStr">
        <is>
          <t>Export</t>
        </is>
      </c>
      <c r="E479" s="15" t="inlineStr">
        <is>
          <t>Import</t>
        </is>
      </c>
      <c r="F479" s="15" t="inlineStr">
        <is>
          <t>Reset client</t>
        </is>
      </c>
    </row>
    <row r="480" ht="16" customHeight="1">
      <c r="B480" s="12" t="n"/>
      <c r="C480" s="28" t="inlineStr">
        <is>
          <t>Type</t>
        </is>
      </c>
      <c r="D480" s="29" t="inlineStr">
        <is>
          <t>Button</t>
        </is>
      </c>
      <c r="E480" s="29" t="inlineStr">
        <is>
          <t>Button</t>
        </is>
      </c>
      <c r="F480" s="29" t="inlineStr">
        <is>
          <t>Button</t>
        </is>
      </c>
    </row>
    <row r="481" ht="40" customHeight="1">
      <c r="B481" s="12" t="n"/>
      <c r="C481" s="28" t="inlineStr">
        <is>
          <t>What it does</t>
        </is>
      </c>
      <c r="D481" s="30" t="inlineStr">
        <is>
          <t>Versioned file</t>
        </is>
      </c>
      <c r="E481" s="30" t="inlineStr">
        <is>
          <t>Takes a snapshot first so it can be undone</t>
        </is>
      </c>
      <c r="F481" s="30" t="inlineStr">
        <is>
          <t>Clears everything after typing the client's name to confirm</t>
        </is>
      </c>
    </row>
    <row r="483">
      <c r="A483" s="25" t="inlineStr">
        <is>
          <t>Session › Session snapshot</t>
        </is>
      </c>
      <c r="B483" s="26" t="n"/>
      <c r="C483" s="26" t="n"/>
      <c r="D483" s="26" t="n"/>
      <c r="E483" s="26" t="n"/>
      <c r="F483" s="26" t="n"/>
      <c r="G483" s="26" t="n"/>
      <c r="H483" s="26" t="n"/>
      <c r="I483" s="26" t="n"/>
      <c r="J483" s="26" t="n"/>
      <c r="K483" s="26" t="n"/>
      <c r="L483" s="26" t="n"/>
      <c r="M483" s="26" t="n"/>
      <c r="N483" s="26" t="n"/>
      <c r="O483" s="26" t="n"/>
    </row>
    <row r="484" ht="30" customHeight="1">
      <c r="B484" s="12" t="inlineStr">
        <is>
          <t>Primary</t>
        </is>
      </c>
      <c r="C484" s="28" t="inlineStr">
        <is>
          <t>Looks like</t>
        </is>
      </c>
      <c r="D484" s="15" t="inlineStr">
        <is>
          <t>Save snapshot</t>
        </is>
      </c>
      <c r="E484" s="14" t="inlineStr">
        <is>
          <t>Compare to ▾</t>
        </is>
      </c>
      <c r="F484" s="19" t="inlineStr">
        <is>
          <t>Since last time</t>
        </is>
      </c>
    </row>
    <row r="485" ht="16" customHeight="1">
      <c r="B485" s="12" t="n"/>
      <c r="C485" s="28" t="inlineStr">
        <is>
          <t>Type</t>
        </is>
      </c>
      <c r="D485" s="29" t="inlineStr">
        <is>
          <t>Button</t>
        </is>
      </c>
      <c r="E485" s="29" t="inlineStr">
        <is>
          <t>Dropdown</t>
        </is>
      </c>
      <c r="F485" s="29" t="inlineStr">
        <is>
          <t>Computed</t>
        </is>
      </c>
    </row>
    <row r="486" ht="40" customHeight="1">
      <c r="B486" s="12" t="n"/>
      <c r="C486" s="28" t="inlineStr">
        <is>
          <t>What it does</t>
        </is>
      </c>
      <c r="D486" s="30" t="inlineStr">
        <is>
          <t>Freezes all numbers at the end of a session</t>
        </is>
      </c>
      <c r="E486" s="30" t="inlineStr">
        <is>
          <t>Any past snapshot</t>
        </is>
      </c>
      <c r="F486" s="30" t="inlineStr">
        <is>
          <t>Net worth, debt, savings rate change</t>
        </is>
      </c>
    </row>
    <row r="488">
      <c r="A488" s="25" t="inlineStr">
        <is>
          <t>Session › Notes and settings</t>
        </is>
      </c>
      <c r="B488" s="26" t="n"/>
      <c r="C488" s="26" t="n"/>
      <c r="D488" s="26" t="n"/>
      <c r="E488" s="26" t="n"/>
      <c r="F488" s="26" t="n"/>
      <c r="G488" s="26" t="n"/>
      <c r="H488" s="26" t="n"/>
      <c r="I488" s="26" t="n"/>
      <c r="J488" s="26" t="n"/>
      <c r="K488" s="26" t="n"/>
      <c r="L488" s="26" t="n"/>
      <c r="M488" s="26" t="n"/>
      <c r="N488" s="26" t="n"/>
      <c r="O488" s="26" t="n"/>
    </row>
    <row r="489" ht="30" customHeight="1">
      <c r="B489" s="12" t="inlineStr">
        <is>
          <t>Primary</t>
        </is>
      </c>
      <c r="C489" s="28" t="inlineStr">
        <is>
          <t>Looks like</t>
        </is>
      </c>
      <c r="D489" s="13" t="inlineStr">
        <is>
          <t>Private notes</t>
        </is>
      </c>
      <c r="E489" s="13" t="inlineStr">
        <is>
          <t>Shared notes</t>
        </is>
      </c>
      <c r="F489" s="13" t="inlineStr">
        <is>
          <t>Session length</t>
        </is>
      </c>
      <c r="G489" s="14" t="inlineStr">
        <is>
          <t>Client view</t>
        </is>
      </c>
      <c r="H489" s="14" t="inlineStr">
        <is>
          <t>Satisfaction 1-10</t>
        </is>
      </c>
    </row>
    <row r="490" ht="16" customHeight="1">
      <c r="B490" s="12" t="n"/>
      <c r="C490" s="28" t="inlineStr">
        <is>
          <t>Type</t>
        </is>
      </c>
      <c r="D490" s="29" t="inlineStr">
        <is>
          <t>Field</t>
        </is>
      </c>
      <c r="E490" s="29" t="inlineStr">
        <is>
          <t>Field</t>
        </is>
      </c>
      <c r="F490" s="29" t="inlineStr">
        <is>
          <t>Field</t>
        </is>
      </c>
      <c r="G490" s="29" t="inlineStr">
        <is>
          <t>Toggle</t>
        </is>
      </c>
      <c r="H490" s="29" t="inlineStr">
        <is>
          <t>Stepper</t>
        </is>
      </c>
    </row>
    <row r="491" ht="40" customHeight="1">
      <c r="B491" s="12" t="n"/>
      <c r="C491" s="28" t="inlineStr">
        <is>
          <t>What it does</t>
        </is>
      </c>
      <c r="D491" s="30" t="inlineStr">
        <is>
          <t>Only you see these</t>
        </is>
      </c>
      <c r="E491" s="30" t="inlineStr">
        <is>
          <t>Client sees these</t>
        </is>
      </c>
      <c r="F491" s="30" t="inlineStr">
        <is>
          <t>Default 60 min</t>
        </is>
      </c>
      <c r="G491" s="30" t="inlineStr">
        <is>
          <t>Hides coach-only items</t>
        </is>
      </c>
      <c r="H491" s="30" t="n"/>
    </row>
  </sheetData>
  <mergeCells count="2">
    <mergeCell ref="A1:O1"/>
    <mergeCell ref="A2:O2"/>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18" customWidth="1" min="1" max="1"/>
    <col width="55" customWidth="1" min="2" max="2"/>
    <col width="50" customWidth="1" min="3" max="3"/>
    <col width="36" customWidth="1" min="4" max="4"/>
  </cols>
  <sheetData>
    <row r="1">
      <c r="A1" s="9" t="inlineStr">
        <is>
          <t>Staple</t>
        </is>
      </c>
      <c r="B1" s="9" t="inlineStr">
        <is>
          <t>What it looks like</t>
        </is>
      </c>
      <c r="C1" s="9" t="inlineStr">
        <is>
          <t>Where it's used</t>
        </is>
      </c>
      <c r="D1" s="9" t="inlineStr">
        <is>
          <t>Your comments</t>
        </is>
      </c>
    </row>
    <row r="2">
      <c r="A2" s="10" t="inlineStr">
        <is>
          <t>Add button</t>
        </is>
      </c>
      <c r="B2" s="10" t="inlineStr">
        <is>
          <t>'+ Add [thing]', outlined, bottom left of every section</t>
        </is>
      </c>
      <c r="C2" s="10" t="inlineStr">
        <is>
          <t>Income, Debt, Assets, Needs, Protection, Goals, calendar, events</t>
        </is>
      </c>
      <c r="D2" s="10" t="n"/>
    </row>
    <row r="3">
      <c r="A3" s="10" t="inlineStr">
        <is>
          <t>Add picker</t>
        </is>
      </c>
      <c r="B3" s="10" t="inlineStr">
        <is>
          <t>Top 4 big buttons, Other with search, Name your own</t>
        </is>
      </c>
      <c r="C3" s="10" t="inlineStr">
        <is>
          <t>Every Add button</t>
        </is>
      </c>
      <c r="D3" s="10" t="n"/>
    </row>
    <row r="4">
      <c r="A4" s="10" t="inlineStr">
        <is>
          <t>Row</t>
        </is>
      </c>
      <c r="B4" s="10" t="inlineStr">
        <is>
          <t>Type/name, amount, per, owner, status, ⧉ ↺ 🗑, ▸ More</t>
        </is>
      </c>
      <c r="C4" s="10" t="inlineStr">
        <is>
          <t>Every multi-item list</t>
        </is>
      </c>
      <c r="D4" s="10" t="n"/>
    </row>
    <row r="5">
      <c r="A5" s="10" t="inlineStr">
        <is>
          <t>Caret</t>
        </is>
      </c>
      <c r="B5" s="10" t="inlineStr">
        <is>
          <t>▸ More / ▾ Less, opens Secondary then Tertiary</t>
        </is>
      </c>
      <c r="C5" s="10" t="inlineStr">
        <is>
          <t>Every row</t>
        </is>
      </c>
      <c r="D5" s="10" t="n"/>
    </row>
    <row r="6">
      <c r="A6" s="10" t="inlineStr">
        <is>
          <t>Status tag</t>
        </is>
      </c>
      <c r="B6" s="10" t="inlineStr">
        <is>
          <t>Know it, Roughly, Not sure (Guess), Will email, Not now, Not for me, Computed</t>
        </is>
      </c>
      <c r="C6" s="10" t="inlineStr">
        <is>
          <t>Every field and row</t>
        </is>
      </c>
      <c r="D6" s="10" t="n"/>
    </row>
    <row r="7">
      <c r="A7" s="10" t="inlineStr">
        <is>
          <t>Amount box</t>
        </is>
      </c>
      <c r="B7" s="10" t="inlineStr">
        <is>
          <t>$ value with 'per' picker (paycheck, week, month, year)</t>
        </is>
      </c>
      <c r="C7" s="10" t="inlineStr">
        <is>
          <t>Every money field</t>
        </is>
      </c>
      <c r="D7" s="10" t="n"/>
    </row>
    <row r="8">
      <c r="A8" s="10" t="inlineStr">
        <is>
          <t>Who pays</t>
        </is>
      </c>
      <c r="B8" s="10" t="inlineStr">
        <is>
          <t>Me, split, included in rent, covered by someone, N/A, my share</t>
        </is>
      </c>
      <c r="C8" s="10" t="inlineStr">
        <is>
          <t>Every Needs line</t>
        </is>
      </c>
      <c r="D8" s="10" t="n"/>
    </row>
    <row r="9">
      <c r="A9" s="10" t="inlineStr">
        <is>
          <t>Paid with</t>
        </is>
      </c>
      <c r="B9" s="10" t="inlineStr">
        <is>
          <t>Checking, savings, or a card</t>
        </is>
      </c>
      <c r="C9" s="10" t="inlineStr">
        <is>
          <t>Every bill (Tertiary)</t>
        </is>
      </c>
      <c r="D9" s="10" t="n"/>
    </row>
    <row r="10">
      <c r="A10" s="10" t="inlineStr">
        <is>
          <t>Amount: Fixed | Variable</t>
        </is>
      </c>
      <c r="B10" s="10" t="inlineStr">
        <is>
          <t>Toggle with a default by category</t>
        </is>
      </c>
      <c r="C10" s="10" t="inlineStr">
        <is>
          <t>Every spending line</t>
        </is>
      </c>
      <c r="D10" s="10" t="n"/>
    </row>
    <row r="11">
      <c r="A11" s="10" t="inlineStr">
        <is>
          <t>Timing: Fixed date | Variable date</t>
        </is>
      </c>
      <c r="B11" s="10" t="inlineStr">
        <is>
          <t>Toggle with a default by category</t>
        </is>
      </c>
      <c r="C11" s="10" t="inlineStr">
        <is>
          <t>Every spending line and calendar entry</t>
        </is>
      </c>
      <c r="D11" s="10" t="n"/>
    </row>
    <row r="12">
      <c r="A12" s="10" t="inlineStr">
        <is>
          <t>Section footer</t>
        </is>
      </c>
      <c r="B12" s="10" t="inlineStr">
        <is>
          <t>Total, count, completion bar</t>
        </is>
      </c>
      <c r="C12" s="10" t="inlineStr">
        <is>
          <t>Every section</t>
        </is>
      </c>
      <c r="D12" s="10" t="n"/>
    </row>
    <row r="13">
      <c r="A13" s="10" t="inlineStr">
        <is>
          <t>Visuals panel</t>
        </is>
      </c>
      <c r="B13" s="10" t="inlineStr">
        <is>
          <t>Chart for this section with a chart picker</t>
        </is>
      </c>
      <c r="C13" s="10" t="inlineStr">
        <is>
          <t>Every My Money sub-tab</t>
        </is>
      </c>
      <c r="D13" s="10" t="n"/>
    </row>
    <row r="14">
      <c r="A14" s="10" t="inlineStr">
        <is>
          <t>Hidden-area link</t>
        </is>
      </c>
      <c r="B14" s="10" t="inlineStr">
        <is>
          <t>'+ Add [area]' linked to the gates hub</t>
        </is>
      </c>
      <c r="C14" s="10" t="inlineStr">
        <is>
          <t>Every gated area</t>
        </is>
      </c>
      <c r="D14" s="10" t="n"/>
    </row>
    <row r="15">
      <c r="A15" s="10" t="inlineStr">
        <is>
          <t>Bulk select</t>
        </is>
      </c>
      <c r="B15" s="10" t="inlineStr">
        <is>
          <t>Checkbox per row, Select all, slim action bar: Duplicate, Delete, Reset, Set status, Link to card</t>
        </is>
      </c>
      <c r="C15" s="10" t="inlineStr">
        <is>
          <t>Every multi-item list</t>
        </is>
      </c>
      <c r="D15" s="10" t="n"/>
    </row>
    <row r="16">
      <c r="A16" s="10" t="inlineStr">
        <is>
          <t>Time toggle</t>
        </is>
      </c>
      <c r="B16" s="10" t="inlineStr">
        <is>
          <t>$ | Hours | FI days, top bar</t>
        </is>
      </c>
      <c r="C16" s="10" t="inlineStr">
        <is>
          <t>All screens</t>
        </is>
      </c>
      <c r="D16" s="10" t="n"/>
    </row>
    <row r="17">
      <c r="A17" s="10" t="inlineStr">
        <is>
          <t>Time chip</t>
        </is>
      </c>
      <c r="B17" s="10" t="inlineStr">
        <is>
          <t>Small grey '14 hrs' next to big amounts</t>
        </is>
      </c>
      <c r="C17" s="10" t="inlineStr">
        <is>
          <t>Every money number</t>
        </is>
      </c>
      <c r="D17" s="10" t="n"/>
    </row>
    <row r="18">
      <c r="A18" s="10" t="inlineStr">
        <is>
          <t>Summary strip</t>
        </is>
      </c>
      <c r="B18" s="10" t="inlineStr">
        <is>
          <t>3 to 4 big numbers above each list with change since last session</t>
        </is>
      </c>
      <c r="C18" s="10" t="inlineStr">
        <is>
          <t>Every list screen</t>
        </is>
      </c>
      <c r="D18" s="10" t="n"/>
    </row>
    <row r="19">
      <c r="A19" s="10" t="inlineStr">
        <is>
          <t>Show the math</t>
        </is>
      </c>
      <c r="B19" s="10" t="inlineStr">
        <is>
          <t>Click a computed number for its formula in plain words</t>
        </is>
      </c>
      <c r="C19" s="10" t="inlineStr">
        <is>
          <t>Every computed number</t>
        </is>
      </c>
      <c r="D19" s="10" t="n"/>
    </row>
    <row r="20">
      <c r="A20" s="10" t="inlineStr">
        <is>
          <t>Payoff bar</t>
        </is>
      </c>
      <c r="B20" s="10" t="inlineStr">
        <is>
          <t>Thin bar in the area color under a payoff date</t>
        </is>
      </c>
      <c r="C20" s="10" t="inlineStr">
        <is>
          <t>Debt rows, goals</t>
        </is>
      </c>
      <c r="D20" s="10" t="n"/>
    </row>
    <row r="21">
      <c r="A21" s="10" t="inlineStr">
        <is>
          <t>Group header</t>
        </is>
      </c>
      <c r="B21" s="10" t="inlineStr">
        <is>
          <t>Type name with subtotal, folds</t>
        </is>
      </c>
      <c r="C21" s="10" t="inlineStr">
        <is>
          <t>Long lists</t>
        </is>
      </c>
      <c r="D21" s="10" t="n"/>
    </row>
    <row r="22">
      <c r="A22" s="10" t="inlineStr">
        <is>
          <t>Totals row</t>
        </is>
      </c>
      <c r="B22" s="10" t="inlineStr">
        <is>
          <t>Pinned at the bottom of each list</t>
        </is>
      </c>
      <c r="C22" s="10" t="inlineStr">
        <is>
          <t>Every list</t>
        </is>
      </c>
      <c r="D22" s="10" t="n"/>
    </row>
    <row r="23">
      <c r="A23" s="10" t="inlineStr">
        <is>
          <t>Saved flash</t>
        </is>
      </c>
      <c r="B23" s="10" t="inlineStr">
        <is>
          <t>Row flashes green, '✓ Saved'</t>
        </is>
      </c>
      <c r="C23" s="10" t="inlineStr">
        <is>
          <t>Every edit</t>
        </is>
      </c>
      <c r="D23" s="10" t="n"/>
    </row>
    <row r="24">
      <c r="A24" s="10" t="inlineStr">
        <is>
          <t>Keyboard hint line</t>
        </is>
      </c>
      <c r="B24" s="10" t="inlineStr">
        <is>
          <t>Tab, Enter, Ctrl+Z, / shown under lists</t>
        </is>
      </c>
      <c r="C24" s="10" t="inlineStr">
        <is>
          <t>Every list</t>
        </is>
      </c>
      <c r="D24" s="10" t="n"/>
    </row>
    <row r="25">
      <c r="A25" s="10" t="inlineStr">
        <is>
          <t>Undo toast</t>
        </is>
      </c>
      <c r="B25" s="10" t="inlineStr">
        <is>
          <t>'Deleted. Undo' for 10 seconds</t>
        </is>
      </c>
      <c r="C25" s="10" t="inlineStr">
        <is>
          <t>Every delete and reset</t>
        </is>
      </c>
      <c r="D25" s="10" t="n"/>
    </row>
    <row r="26">
      <c r="A26" s="10" t="inlineStr">
        <is>
          <t>Quick add</t>
        </is>
      </c>
      <c r="B26" s="10" t="inlineStr">
        <is>
          <t>'+ Add anything' text box in the top bar</t>
        </is>
      </c>
      <c r="C26" s="10" t="inlineStr">
        <is>
          <t>All screens</t>
        </is>
      </c>
      <c r="D26" s="10" t="n"/>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190"/>
  <sheetViews>
    <sheetView workbookViewId="0">
      <pane xSplit="4" ySplit="3" topLeftCell="E4"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12" customWidth="1" min="2" max="2"/>
    <col width="18" customWidth="1" min="3" max="3"/>
    <col width="20" customWidth="1" min="4" max="4"/>
    <col width="38" customWidth="1" min="5" max="5"/>
    <col width="50" customWidth="1" min="6" max="6"/>
    <col width="36" customWidth="1" min="7" max="7"/>
    <col width="28" customWidth="1" min="8" max="8"/>
    <col width="26" customWidth="1" min="9" max="9"/>
    <col width="36" customWidth="1" min="10" max="10"/>
  </cols>
  <sheetData>
    <row r="1">
      <c r="A1" s="1" t="inlineStr">
        <is>
          <t>SLAM rules: when X, then Y, otherwise Z</t>
        </is>
      </c>
    </row>
    <row r="2">
      <c r="A2" s="31" t="inlineStr">
        <is>
          <t>Source = Decided (you said it, with when or where) or Proposed (my default; confirm, change or delete). Proposed rows are shaded yellow.</t>
        </is>
      </c>
    </row>
    <row r="3">
      <c r="A3" s="9" t="inlineStr">
        <is>
          <t>ID</t>
        </is>
      </c>
      <c r="B3" s="9" t="inlineStr">
        <is>
          <t>Build status</t>
        </is>
      </c>
      <c r="C3" s="9" t="inlineStr">
        <is>
          <t>Rule type</t>
        </is>
      </c>
      <c r="D3" s="9" t="inlineStr">
        <is>
          <t>Applies to</t>
        </is>
      </c>
      <c r="E3" s="9" t="inlineStr">
        <is>
          <t>When</t>
        </is>
      </c>
      <c r="F3" s="9" t="inlineStr">
        <is>
          <t>Then</t>
        </is>
      </c>
      <c r="G3" s="9" t="inlineStr">
        <is>
          <t>Otherwise</t>
        </is>
      </c>
      <c r="H3" s="9" t="inlineStr">
        <is>
          <t>Example</t>
        </is>
      </c>
      <c r="I3" s="9" t="inlineStr">
        <is>
          <t>Source</t>
        </is>
      </c>
      <c r="J3" s="9" t="inlineStr">
        <is>
          <t>Your comments</t>
        </is>
      </c>
      <c r="K3" s="9" t="inlineStr">
        <is>
          <t>Build phase</t>
        </is>
      </c>
    </row>
    <row r="4">
      <c r="A4" s="32" t="inlineStr">
        <is>
          <t>R001</t>
        </is>
      </c>
      <c r="B4" s="32" t="inlineStr">
        <is>
          <t>Not started</t>
        </is>
      </c>
      <c r="C4" s="32" t="inlineStr">
        <is>
          <t>Gate (show only if)</t>
        </is>
      </c>
      <c r="D4" s="32" t="inlineStr">
        <is>
          <t>Accounts gate</t>
        </is>
      </c>
      <c r="E4" s="32" t="inlineStr">
        <is>
          <t>An area (cash, investments, real assets, debt) is unchecked</t>
        </is>
      </c>
      <c r="F4" s="32" t="inlineStr">
        <is>
          <t>That area's sub-tab, rows, totals and charts don't appear anywhere</t>
        </is>
      </c>
      <c r="G4" s="32" t="inlineStr">
        <is>
          <t>Area appears with the rows created by the counts</t>
        </is>
      </c>
      <c r="H4" s="32" t="n"/>
      <c r="I4" s="32" t="inlineStr">
        <is>
          <t>Decided (Sept: absent, not hidden)</t>
        </is>
      </c>
      <c r="J4" s="32" t="n"/>
      <c r="K4" s="33" t="inlineStr">
        <is>
          <t>5</t>
        </is>
      </c>
    </row>
    <row r="5">
      <c r="A5" s="32" t="inlineStr">
        <is>
          <t>R002</t>
        </is>
      </c>
      <c r="B5" s="32" t="inlineStr">
        <is>
          <t>Not started</t>
        </is>
      </c>
      <c r="C5" s="32" t="inlineStr">
        <is>
          <t>Gate (show only if)</t>
        </is>
      </c>
      <c r="D5" s="32" t="inlineStr">
        <is>
          <t>Accounts gate</t>
        </is>
      </c>
      <c r="E5" s="32" t="inlineStr">
        <is>
          <t>'None of these' is checked</t>
        </is>
      </c>
      <c r="F5" s="32" t="inlineStr">
        <is>
          <t>All four areas count as complete; net worth uses zeros</t>
        </is>
      </c>
      <c r="G5" s="32" t="n"/>
      <c r="H5" s="32" t="n"/>
      <c r="I5" s="32" t="inlineStr">
        <is>
          <t>Decided (Sept 23: every question has an 'I don't')</t>
        </is>
      </c>
      <c r="J5" s="32" t="n"/>
      <c r="K5" s="33" t="inlineStr">
        <is>
          <t>5</t>
        </is>
      </c>
    </row>
    <row r="6">
      <c r="A6" s="32" t="inlineStr">
        <is>
          <t>R003</t>
        </is>
      </c>
      <c r="B6" s="32" t="inlineStr">
        <is>
          <t>Not started</t>
        </is>
      </c>
      <c r="C6" s="32" t="inlineStr">
        <is>
          <t>Gate (show only if)</t>
        </is>
      </c>
      <c r="D6" s="32" t="inlineStr">
        <is>
          <t>Accounts gate</t>
        </is>
      </c>
      <c r="E6" s="32" t="inlineStr">
        <is>
          <t>A type is picked with a count of N</t>
        </is>
      </c>
      <c r="F6" s="32" t="inlineStr">
        <is>
          <t>N blank rows of that type are created</t>
        </is>
      </c>
      <c r="G6" s="32" t="n"/>
      <c r="H6" s="32" t="n"/>
      <c r="I6" s="32" t="inlineStr">
        <is>
          <t>Decided (Oct 28: count first, then rows)</t>
        </is>
      </c>
      <c r="J6" s="32" t="n"/>
      <c r="K6" s="33" t="inlineStr">
        <is>
          <t>5</t>
        </is>
      </c>
    </row>
    <row r="7">
      <c r="A7" s="32" t="inlineStr">
        <is>
          <t>R004</t>
        </is>
      </c>
      <c r="B7" s="32" t="inlineStr">
        <is>
          <t>Not started</t>
        </is>
      </c>
      <c r="C7" s="32" t="inlineStr">
        <is>
          <t>Gate (show only if)</t>
        </is>
      </c>
      <c r="D7" s="32" t="inlineStr">
        <is>
          <t>Work situation</t>
        </is>
      </c>
      <c r="E7" s="32" t="inlineStr">
        <is>
          <t>Between jobs, student or retired</t>
        </is>
      </c>
      <c r="F7" s="32" t="inlineStr">
        <is>
          <t>Employer match, 401(k) %, paycheck deductions, vesting and equity pay don't appear</t>
        </is>
      </c>
      <c r="G7" s="32" t="inlineStr">
        <is>
          <t>They appear for employed or mixed</t>
        </is>
      </c>
      <c r="H7" s="32" t="n"/>
      <c r="I7" s="32" t="inlineStr">
        <is>
          <t>Decided (Sept: situation gate)</t>
        </is>
      </c>
      <c r="J7" s="32" t="n"/>
      <c r="K7" s="33" t="inlineStr">
        <is>
          <t>5</t>
        </is>
      </c>
    </row>
    <row r="8">
      <c r="A8" s="32" t="inlineStr">
        <is>
          <t>R005</t>
        </is>
      </c>
      <c r="B8" s="32" t="inlineStr">
        <is>
          <t>Not started</t>
        </is>
      </c>
      <c r="C8" s="32" t="inlineStr">
        <is>
          <t>Gate (show only if)</t>
        </is>
      </c>
      <c r="D8" s="32" t="inlineStr">
        <is>
          <t>Work situation</t>
        </is>
      </c>
      <c r="E8" s="32" t="inlineStr">
        <is>
          <t>Self-employed or mixed</t>
        </is>
      </c>
      <c r="F8" s="32" t="inlineStr">
        <is>
          <t>Variable income block, tax set-aside %, quarterly estimates and business expenses appear</t>
        </is>
      </c>
      <c r="G8" s="32" t="inlineStr">
        <is>
          <t>Hidden</t>
        </is>
      </c>
      <c r="H8" s="32" t="n"/>
      <c r="I8" s="32" t="inlineStr">
        <is>
          <t>Decided (accepted Oct 28; was proposed)</t>
        </is>
      </c>
      <c r="J8" s="32" t="n"/>
      <c r="K8" s="33" t="inlineStr">
        <is>
          <t>5</t>
        </is>
      </c>
    </row>
    <row r="9">
      <c r="A9" s="32" t="inlineStr">
        <is>
          <t>R006</t>
        </is>
      </c>
      <c r="B9" s="32" t="inlineStr">
        <is>
          <t>Not started</t>
        </is>
      </c>
      <c r="C9" s="32" t="inlineStr">
        <is>
          <t>Gate (show only if)</t>
        </is>
      </c>
      <c r="D9" s="32" t="inlineStr">
        <is>
          <t>Work situation</t>
        </is>
      </c>
      <c r="E9" s="32" t="inlineStr">
        <is>
          <t>Between jobs</t>
        </is>
      </c>
      <c r="F9" s="32" t="inlineStr">
        <is>
          <t>Unemployment benefits and runway months appear on Income and Home</t>
        </is>
      </c>
      <c r="G9" s="32" t="inlineStr">
        <is>
          <t>Hidden</t>
        </is>
      </c>
      <c r="H9" s="32" t="n"/>
      <c r="I9" s="32" t="inlineStr">
        <is>
          <t>Decided (accepted Oct 28; was proposed)</t>
        </is>
      </c>
      <c r="J9" s="32" t="n"/>
      <c r="K9" s="33" t="inlineStr">
        <is>
          <t>5</t>
        </is>
      </c>
    </row>
    <row r="10">
      <c r="A10" s="32" t="inlineStr">
        <is>
          <t>R007</t>
        </is>
      </c>
      <c r="B10" s="32" t="inlineStr">
        <is>
          <t>Not started</t>
        </is>
      </c>
      <c r="C10" s="32" t="inlineStr">
        <is>
          <t>Gate (show only if)</t>
        </is>
      </c>
      <c r="D10" s="32" t="inlineStr">
        <is>
          <t>Household</t>
        </is>
      </c>
      <c r="E10" s="32" t="inlineStr">
        <is>
          <t>Solo</t>
        </is>
      </c>
      <c r="F10" s="32" t="inlineStr">
        <is>
          <t>No Owner dropdowns, no partner rows, no couples split</t>
        </is>
      </c>
      <c r="G10" s="32" t="inlineStr">
        <is>
          <t>Couple: Owner on every row, partner fields, couples split block</t>
        </is>
      </c>
      <c r="H10" s="32" t="n"/>
      <c r="I10" s="32" t="inlineStr">
        <is>
          <t>Decided (couples support Oct 27)</t>
        </is>
      </c>
      <c r="J10" s="32" t="n"/>
      <c r="K10" s="33" t="inlineStr">
        <is>
          <t>5</t>
        </is>
      </c>
    </row>
    <row r="11">
      <c r="A11" s="32" t="inlineStr">
        <is>
          <t>R008</t>
        </is>
      </c>
      <c r="B11" s="32" t="inlineStr">
        <is>
          <t>Not started</t>
        </is>
      </c>
      <c r="C11" s="32" t="inlineStr">
        <is>
          <t>Gate (show only if)</t>
        </is>
      </c>
      <c r="D11" s="32" t="inlineStr">
        <is>
          <t>Housing</t>
        </is>
      </c>
      <c r="E11" s="32" t="inlineStr">
        <is>
          <t>Rent</t>
        </is>
      </c>
      <c r="F11" s="32" t="inlineStr">
        <is>
          <t>Rent line, renters insurance line</t>
        </is>
      </c>
      <c r="G11" s="32" t="inlineStr">
        <is>
          <t>Own: mortgage on home asset, property tax, insurance, HOA. Family: housing line defaults to 'covered by someone'</t>
        </is>
      </c>
      <c r="H11" s="32" t="n"/>
      <c r="I11" s="32" t="inlineStr">
        <is>
          <t>Decided (accepted Oct 28; was proposed)</t>
        </is>
      </c>
      <c r="J11" s="32" t="n"/>
      <c r="K11" s="33" t="inlineStr">
        <is>
          <t>5</t>
        </is>
      </c>
    </row>
    <row r="12">
      <c r="A12" s="32" t="inlineStr">
        <is>
          <t>R009</t>
        </is>
      </c>
      <c r="B12" s="32" t="inlineStr">
        <is>
          <t>Not started</t>
        </is>
      </c>
      <c r="C12" s="32" t="inlineStr">
        <is>
          <t>Gate (show only if)</t>
        </is>
      </c>
      <c r="D12" s="32" t="inlineStr">
        <is>
          <t>Car gate</t>
        </is>
      </c>
      <c r="E12" s="32" t="inlineStr">
        <is>
          <t>Has a car = No</t>
        </is>
      </c>
      <c r="F12" s="32" t="inlineStr">
        <is>
          <t>Car insurance, gas, maintenance, registration, tolls, parking, car wash and the car asset don't appear</t>
        </is>
      </c>
      <c r="G12" s="32" t="inlineStr">
        <is>
          <t>They appear; transit and Uber appear either way</t>
        </is>
      </c>
      <c r="H12" s="32" t="n"/>
      <c r="I12" s="32" t="inlineStr">
        <is>
          <t>Decided (your Fields comment)</t>
        </is>
      </c>
      <c r="J12" s="32" t="n"/>
      <c r="K12" s="33" t="inlineStr">
        <is>
          <t>5</t>
        </is>
      </c>
    </row>
    <row r="13">
      <c r="A13" s="32" t="inlineStr">
        <is>
          <t>R010</t>
        </is>
      </c>
      <c r="B13" s="32" t="inlineStr">
        <is>
          <t>Not started</t>
        </is>
      </c>
      <c r="C13" s="32" t="inlineStr">
        <is>
          <t>Gate (show only if)</t>
        </is>
      </c>
      <c r="D13" s="32" t="inlineStr">
        <is>
          <t>Kids gate</t>
        </is>
      </c>
      <c r="E13" s="32" t="inlineStr">
        <is>
          <t>Dependents = 0</t>
        </is>
      </c>
      <c r="F13" s="32" t="inlineStr">
        <is>
          <t>All Kids lines and the kid tax credits don't appear</t>
        </is>
      </c>
      <c r="G13" s="32" t="inlineStr">
        <is>
          <t>They appear</t>
        </is>
      </c>
      <c r="H13" s="32" t="n"/>
      <c r="I13" s="32" t="inlineStr">
        <is>
          <t>Decided (your Fields comment)</t>
        </is>
      </c>
      <c r="J13" s="32" t="n"/>
      <c r="K13" s="33" t="inlineStr">
        <is>
          <t>5</t>
        </is>
      </c>
    </row>
    <row r="14">
      <c r="A14" s="32" t="inlineStr">
        <is>
          <t>R011</t>
        </is>
      </c>
      <c r="B14" s="32" t="inlineStr">
        <is>
          <t>Not started</t>
        </is>
      </c>
      <c r="C14" s="32" t="inlineStr">
        <is>
          <t>Gate (show only if)</t>
        </is>
      </c>
      <c r="D14" s="32" t="inlineStr">
        <is>
          <t>Pets gate</t>
        </is>
      </c>
      <c r="E14" s="32" t="inlineStr">
        <is>
          <t>Pets = 0</t>
        </is>
      </c>
      <c r="F14" s="32" t="inlineStr">
        <is>
          <t>All Pet lines don't appear</t>
        </is>
      </c>
      <c r="G14" s="32" t="inlineStr">
        <is>
          <t>They appear</t>
        </is>
      </c>
      <c r="H14" s="32" t="n"/>
      <c r="I14" s="32" t="inlineStr">
        <is>
          <t>Decided (your Fields comment)</t>
        </is>
      </c>
      <c r="J14" s="32" t="n"/>
      <c r="K14" s="33" t="inlineStr">
        <is>
          <t>5</t>
        </is>
      </c>
    </row>
    <row r="15">
      <c r="A15" s="32" t="inlineStr">
        <is>
          <t>R012</t>
        </is>
      </c>
      <c r="B15" s="32" t="inlineStr">
        <is>
          <t>Not started</t>
        </is>
      </c>
      <c r="C15" s="32" t="inlineStr">
        <is>
          <t>Gate (show only if)</t>
        </is>
      </c>
      <c r="D15" s="32" t="inlineStr">
        <is>
          <t>Health coverage</t>
        </is>
      </c>
      <c r="E15" s="32" t="inlineStr">
        <is>
          <t>Coverage is not confirmed as HSA-eligible</t>
        </is>
      </c>
      <c r="F15" s="32" t="inlineStr">
        <is>
          <t>HSA rows (contribution, invested vs cash, HSA account type) don't appear</t>
        </is>
      </c>
      <c r="G15" s="32" t="inlineStr">
        <is>
          <t>They appear</t>
        </is>
      </c>
      <c r="H15" s="32" t="n"/>
      <c r="I15" s="32" t="inlineStr">
        <is>
          <t>Decided (your Mockup comment)</t>
        </is>
      </c>
      <c r="J15" s="32" t="n"/>
      <c r="K15" s="33" t="inlineStr">
        <is>
          <t>5</t>
        </is>
      </c>
    </row>
    <row r="16">
      <c r="A16" s="32" t="inlineStr">
        <is>
          <t>R013</t>
        </is>
      </c>
      <c r="B16" s="32" t="inlineStr">
        <is>
          <t>Not started</t>
        </is>
      </c>
      <c r="C16" s="32" t="inlineStr">
        <is>
          <t>Gate (show only if)</t>
        </is>
      </c>
      <c r="D16" s="32" t="inlineStr">
        <is>
          <t>Health coverage</t>
        </is>
      </c>
      <c r="E16" s="32" t="inlineStr">
        <is>
          <t>Coverage doesn't include an FSA</t>
        </is>
      </c>
      <c r="F16" s="32" t="inlineStr">
        <is>
          <t>FSA rows don't appear</t>
        </is>
      </c>
      <c r="G16" s="32" t="inlineStr">
        <is>
          <t>They appear</t>
        </is>
      </c>
      <c r="H16" s="32" t="n"/>
      <c r="I16" s="32" t="inlineStr">
        <is>
          <t>Decided (your Mockup comment)</t>
        </is>
      </c>
      <c r="J16" s="32" t="n"/>
      <c r="K16" s="33" t="inlineStr">
        <is>
          <t>5</t>
        </is>
      </c>
    </row>
    <row r="17">
      <c r="A17" s="32" t="inlineStr">
        <is>
          <t>R014</t>
        </is>
      </c>
      <c r="B17" s="32" t="inlineStr">
        <is>
          <t>Not started</t>
        </is>
      </c>
      <c r="C17" s="32" t="inlineStr">
        <is>
          <t>Gate (show only if)</t>
        </is>
      </c>
      <c r="D17" s="32" t="inlineStr">
        <is>
          <t>Income</t>
        </is>
      </c>
      <c r="E17" s="32" t="inlineStr">
        <is>
          <t>Employer doesn't offer ESPP or RSUs</t>
        </is>
      </c>
      <c r="F17" s="32" t="inlineStr">
        <is>
          <t>Equity pay fields don't appear</t>
        </is>
      </c>
      <c r="G17" s="32" t="inlineStr">
        <is>
          <t>Appear when ticked in the paycheck row's Secondary: 'Equity pay offered? ☐ ESPP ☐ RSU ☐ Options' (also listed in the gates hub)</t>
        </is>
      </c>
      <c r="H17" s="32" t="n"/>
      <c r="I17" s="32" t="inlineStr">
        <is>
          <t>Decided (your comment: where would this gate be)</t>
        </is>
      </c>
      <c r="J17" s="32" t="n"/>
      <c r="K17" s="33" t="inlineStr">
        <is>
          <t>5</t>
        </is>
      </c>
    </row>
    <row r="18">
      <c r="A18" s="32" t="inlineStr">
        <is>
          <t>R015</t>
        </is>
      </c>
      <c r="B18" s="32" t="inlineStr">
        <is>
          <t>Not started</t>
        </is>
      </c>
      <c r="C18" s="32" t="inlineStr">
        <is>
          <t>Gate (show only if)</t>
        </is>
      </c>
      <c r="D18" s="32" t="inlineStr">
        <is>
          <t>Gates hub</t>
        </is>
      </c>
      <c r="E18" s="32" t="inlineStr">
        <is>
          <t>Always</t>
        </is>
      </c>
      <c r="F18" s="32" t="inlineStr">
        <is>
          <t>Profile has a 'What applies to me' panel listing every gate (car, kids, pets, housing, work, health, equity pay, couple, account types) with its answer. Changing one adds or removes those sections and jumps you there</t>
        </is>
      </c>
      <c r="G18" s="32" t="inlineStr">
        <is>
          <t>Each hidden area also shows a slim '+ Add [area]' link in its sub-tab, linked back to the hub</t>
        </is>
      </c>
      <c r="H18" s="32" t="n"/>
      <c r="I18" s="32" t="inlineStr">
        <is>
          <t>Decided (your comment on R001)</t>
        </is>
      </c>
      <c r="J18" s="32" t="n"/>
      <c r="K18" s="33" t="inlineStr">
        <is>
          <t>5</t>
        </is>
      </c>
    </row>
    <row r="19">
      <c r="A19" s="32" t="inlineStr">
        <is>
          <t>R016</t>
        </is>
      </c>
      <c r="B19" s="32" t="inlineStr">
        <is>
          <t>Not started</t>
        </is>
      </c>
      <c r="C19" s="32" t="inlineStr">
        <is>
          <t>Gate (show only if)</t>
        </is>
      </c>
      <c r="D19" s="32" t="inlineStr">
        <is>
          <t>Student loan</t>
        </is>
      </c>
      <c r="E19" s="32" t="inlineStr">
        <is>
          <t>Private</t>
        </is>
      </c>
      <c r="F19" s="32" t="inlineStr">
        <is>
          <t>Repayment plan and PSLF fields don't appear</t>
        </is>
      </c>
      <c r="G19" s="32" t="inlineStr">
        <is>
          <t>Federal: they appear</t>
        </is>
      </c>
      <c r="H19" s="32" t="n"/>
      <c r="I19" s="32" t="inlineStr">
        <is>
          <t>Decided (accepted Oct 28; was proposed)</t>
        </is>
      </c>
      <c r="J19" s="32" t="n"/>
      <c r="K19" s="33" t="inlineStr">
        <is>
          <t>5</t>
        </is>
      </c>
    </row>
    <row r="20">
      <c r="A20" s="32" t="inlineStr">
        <is>
          <t>R017</t>
        </is>
      </c>
      <c r="B20" s="32" t="inlineStr">
        <is>
          <t>Not started</t>
        </is>
      </c>
      <c r="C20" s="32" t="inlineStr">
        <is>
          <t>Gate (show only if)</t>
        </is>
      </c>
      <c r="D20" s="32" t="inlineStr">
        <is>
          <t>Investment account</t>
        </is>
      </c>
      <c r="E20" s="32" t="inlineStr">
        <is>
          <t>Account type picked</t>
        </is>
      </c>
      <c r="F20" s="32" t="inlineStr">
        <is>
          <t>Only the fields unique to that type appear (cost basis for brokerage, Roth basis for Roth, invested vs cash for HSA)</t>
        </is>
      </c>
      <c r="G20" s="32" t="n"/>
      <c r="H20" s="32" t="n"/>
      <c r="I20" s="32" t="inlineStr">
        <is>
          <t>Decided (Oct 27: each type carries its own fields)</t>
        </is>
      </c>
      <c r="J20" s="32" t="n"/>
      <c r="K20" s="33" t="inlineStr">
        <is>
          <t>5</t>
        </is>
      </c>
    </row>
    <row r="21">
      <c r="A21" s="32" t="inlineStr">
        <is>
          <t>R018</t>
        </is>
      </c>
      <c r="B21" s="32" t="inlineStr">
        <is>
          <t>Not started</t>
        </is>
      </c>
      <c r="C21" s="32" t="inlineStr">
        <is>
          <t>Gate (show only if)</t>
        </is>
      </c>
      <c r="D21" s="32" t="inlineStr">
        <is>
          <t>Investment account</t>
        </is>
      </c>
      <c r="E21" s="32" t="inlineStr">
        <is>
          <t>Pretax | Roth | Both = Both</t>
        </is>
      </c>
      <c r="F21" s="32" t="inlineStr">
        <is>
          <t>Two balance boxes (pretax and Roth)</t>
        </is>
      </c>
      <c r="G21" s="32" t="inlineStr">
        <is>
          <t>One balance box</t>
        </is>
      </c>
      <c r="H21" s="32" t="n"/>
      <c r="I21" s="32" t="inlineStr">
        <is>
          <t>Decided (accepted Oct 28; was proposed)</t>
        </is>
      </c>
      <c r="J21" s="32" t="n"/>
      <c r="K21" s="33" t="inlineStr">
        <is>
          <t>5</t>
        </is>
      </c>
    </row>
    <row r="22">
      <c r="A22" s="32" t="inlineStr">
        <is>
          <t>R019</t>
        </is>
      </c>
      <c r="B22" s="32" t="inlineStr">
        <is>
          <t>Not started</t>
        </is>
      </c>
      <c r="C22" s="32" t="inlineStr">
        <is>
          <t>Gate (show only if)</t>
        </is>
      </c>
      <c r="D22" s="32" t="inlineStr">
        <is>
          <t>Debt picker</t>
        </is>
      </c>
      <c r="E22" s="32" t="inlineStr">
        <is>
          <t>Always</t>
        </is>
      </c>
      <c r="F22" s="32" t="inlineStr">
        <is>
          <t>Top 4 shown: credit card, student loan, car loan, personal loan; Other opens the rest with search</t>
        </is>
      </c>
      <c r="G22" s="32" t="n"/>
      <c r="H22" s="32" t="n"/>
      <c r="I22" s="32" t="inlineStr">
        <is>
          <t>Decided (your Mockup comment)</t>
        </is>
      </c>
      <c r="J22" s="32" t="n"/>
      <c r="K22" s="33" t="inlineStr">
        <is>
          <t>5</t>
        </is>
      </c>
    </row>
    <row r="23">
      <c r="A23" s="32" t="inlineStr">
        <is>
          <t>R020</t>
        </is>
      </c>
      <c r="B23" s="32" t="inlineStr">
        <is>
          <t>Not started</t>
        </is>
      </c>
      <c r="C23" s="32" t="inlineStr">
        <is>
          <t>Gate (show only if)</t>
        </is>
      </c>
      <c r="D23" s="32" t="inlineStr">
        <is>
          <t>Credit card</t>
        </is>
      </c>
      <c r="E23" s="32" t="inlineStr">
        <is>
          <t>Payment = Custom</t>
        </is>
      </c>
      <c r="F23" s="32" t="inlineStr">
        <is>
          <t>Custom $ box appears</t>
        </is>
      </c>
      <c r="G23" s="32" t="inlineStr">
        <is>
          <t>Hidden</t>
        </is>
      </c>
      <c r="H23" s="32" t="n"/>
      <c r="I23" s="32" t="inlineStr">
        <is>
          <t>Decided (your Mockup comment)</t>
        </is>
      </c>
      <c r="J23" s="32" t="n"/>
      <c r="K23" s="33" t="inlineStr">
        <is>
          <t>5</t>
        </is>
      </c>
    </row>
    <row r="24">
      <c r="A24" s="32" t="inlineStr">
        <is>
          <t>R021</t>
        </is>
      </c>
      <c r="B24" s="32" t="inlineStr">
        <is>
          <t>Not started</t>
        </is>
      </c>
      <c r="C24" s="32" t="inlineStr">
        <is>
          <t>Gate (show only if)</t>
        </is>
      </c>
      <c r="D24" s="32" t="inlineStr">
        <is>
          <t>Taxes</t>
        </is>
      </c>
      <c r="E24" s="32" t="inlineStr">
        <is>
          <t>Income type includes 1099 or self-employed</t>
        </is>
      </c>
      <c r="F24" s="32" t="inlineStr">
        <is>
          <t>Quarterly estimates and self-employment tax appear</t>
        </is>
      </c>
      <c r="G24" s="32" t="inlineStr">
        <is>
          <t>Hidden</t>
        </is>
      </c>
      <c r="H24" s="32" t="n"/>
      <c r="I24" s="32" t="inlineStr">
        <is>
          <t>Decided (accepted Oct 28; was proposed)</t>
        </is>
      </c>
      <c r="J24" s="32" t="n"/>
      <c r="K24" s="33" t="inlineStr">
        <is>
          <t>5</t>
        </is>
      </c>
    </row>
    <row r="25">
      <c r="A25" s="32" t="inlineStr">
        <is>
          <t>R022</t>
        </is>
      </c>
      <c r="B25" s="32" t="inlineStr">
        <is>
          <t>Not started</t>
        </is>
      </c>
      <c r="C25" s="32" t="inlineStr">
        <is>
          <t>Gate (show only if)</t>
        </is>
      </c>
      <c r="D25" s="32" t="inlineStr">
        <is>
          <t>Goals</t>
        </is>
      </c>
      <c r="E25" s="32" t="inlineStr">
        <is>
          <t>Milestone = Barista FI</t>
        </is>
      </c>
      <c r="F25" s="32" t="inlineStr">
        <is>
          <t>Part-time income field appears</t>
        </is>
      </c>
      <c r="G25" s="32" t="inlineStr">
        <is>
          <t>Hidden</t>
        </is>
      </c>
      <c r="H25" s="32" t="n"/>
      <c r="I25" s="32" t="inlineStr">
        <is>
          <t>Decided (Oct 7 FI definitions)</t>
        </is>
      </c>
      <c r="J25" s="32" t="n"/>
      <c r="K25" s="33" t="inlineStr">
        <is>
          <t>5</t>
        </is>
      </c>
    </row>
    <row r="26">
      <c r="A26" s="32" t="inlineStr">
        <is>
          <t>R023</t>
        </is>
      </c>
      <c r="B26" s="32" t="inlineStr">
        <is>
          <t>Not started</t>
        </is>
      </c>
      <c r="C26" s="32" t="inlineStr">
        <is>
          <t>Gate (show only if)</t>
        </is>
      </c>
      <c r="D26" s="32" t="inlineStr">
        <is>
          <t>Any sub-tab</t>
        </is>
      </c>
      <c r="E26" s="32" t="inlineStr">
        <is>
          <t>Layer = Secondary or Tertiary</t>
        </is>
      </c>
      <c r="F26" s="32" t="inlineStr">
        <is>
          <t>Fields stay behind the caret, collapsed by default</t>
        </is>
      </c>
      <c r="G26" s="32" t="inlineStr">
        <is>
          <t>Primary always visible</t>
        </is>
      </c>
      <c r="H26" s="32" t="n"/>
      <c r="I26" s="32" t="inlineStr">
        <is>
          <t>Decided (Oct 28: detail behind carets)</t>
        </is>
      </c>
      <c r="J26" s="32" t="n"/>
      <c r="K26" s="33" t="inlineStr">
        <is>
          <t>5</t>
        </is>
      </c>
    </row>
    <row r="27">
      <c r="A27" s="32" t="inlineStr">
        <is>
          <t>R024</t>
        </is>
      </c>
      <c r="B27" s="32" t="inlineStr">
        <is>
          <t>Not started</t>
        </is>
      </c>
      <c r="C27" s="32" t="inlineStr">
        <is>
          <t>Default</t>
        </is>
      </c>
      <c r="D27" s="32" t="inlineStr">
        <is>
          <t>Every new row</t>
        </is>
      </c>
      <c r="E27" s="32" t="inlineStr">
        <is>
          <t>Row created</t>
        </is>
      </c>
      <c r="F27" s="32" t="inlineStr">
        <is>
          <t>All boxes start blank, never 0% or $0; computed results show '–' until inputs exist</t>
        </is>
      </c>
      <c r="G27" s="32" t="n"/>
      <c r="H27" s="32" t="inlineStr">
        <is>
          <t>ProjectionLab shows '0 years to pay off' on a blank row</t>
        </is>
      </c>
      <c r="I27" s="32" t="inlineStr">
        <is>
          <t>Decided (screen review)</t>
        </is>
      </c>
      <c r="J27" s="32" t="n"/>
      <c r="K27" s="33" t="inlineStr">
        <is>
          <t>2</t>
        </is>
      </c>
    </row>
    <row r="28">
      <c r="A28" s="32" t="inlineStr">
        <is>
          <t>R025</t>
        </is>
      </c>
      <c r="B28" s="32" t="inlineStr">
        <is>
          <t>Not started</t>
        </is>
      </c>
      <c r="C28" s="32" t="inlineStr">
        <is>
          <t>Default</t>
        </is>
      </c>
      <c r="D28" s="32" t="inlineStr">
        <is>
          <t>Goals</t>
        </is>
      </c>
      <c r="E28" s="32" t="inlineStr">
        <is>
          <t>No return entered</t>
        </is>
      </c>
      <c r="F28" s="32" t="inlineStr">
        <is>
          <t>Return 7%, inflation 2%, withdrawal 4%</t>
        </is>
      </c>
      <c r="G28" s="32" t="n"/>
      <c r="H28" s="32" t="n"/>
      <c r="I28" s="32" t="inlineStr">
        <is>
          <t>Decided (Oct 28: your usual numbers)</t>
        </is>
      </c>
      <c r="J28" s="32" t="n"/>
      <c r="K28" s="33" t="inlineStr">
        <is>
          <t>2</t>
        </is>
      </c>
    </row>
    <row r="29">
      <c r="A29" s="32" t="inlineStr">
        <is>
          <t>R026</t>
        </is>
      </c>
      <c r="B29" s="32" t="inlineStr">
        <is>
          <t>Not started</t>
        </is>
      </c>
      <c r="C29" s="32" t="inlineStr">
        <is>
          <t>Default</t>
        </is>
      </c>
      <c r="D29" s="32" t="inlineStr">
        <is>
          <t>Goals</t>
        </is>
      </c>
      <c r="E29" s="32" t="inlineStr">
        <is>
          <t>Presets</t>
        </is>
      </c>
      <c r="F29" s="32" t="inlineStr">
        <is>
          <t>Return (already after inflation): 6% (conservative), 7% (default), 8% (optimistic), 12% (hopeful, no inflation taken out). Inflation: 2% (default), 3%. Withdrawal: 3%, 4% (default), 4.7%, 5.2%</t>
        </is>
      </c>
      <c r="G29" s="32" t="n"/>
      <c r="H29" s="32" t="n"/>
      <c r="I29" s="32" t="inlineStr">
        <is>
          <t>Decided (Oct 28)</t>
        </is>
      </c>
      <c r="J29" s="32" t="n"/>
      <c r="K29" s="33" t="inlineStr">
        <is>
          <t>2</t>
        </is>
      </c>
    </row>
    <row r="30">
      <c r="A30" s="32" t="inlineStr">
        <is>
          <t>R027</t>
        </is>
      </c>
      <c r="B30" s="32" t="inlineStr">
        <is>
          <t>Not started</t>
        </is>
      </c>
      <c r="C30" s="32" t="inlineStr">
        <is>
          <t>Default</t>
        </is>
      </c>
      <c r="D30" s="32" t="inlineStr">
        <is>
          <t>Coast FI retirement age</t>
        </is>
      </c>
      <c r="E30" s="32" t="inlineStr">
        <is>
          <t>Always</t>
        </is>
      </c>
      <c r="F30" s="32" t="inlineStr">
        <is>
          <t>Uses the FI target age if set; otherwise 60, editable in Plan &gt; Goals as 'Retire by'</t>
        </is>
      </c>
      <c r="G30" s="32" t="n"/>
      <c r="H30" s="32" t="n"/>
      <c r="I30" s="32" t="inlineStr">
        <is>
          <t>Decided (Oct 28, from Claude Code's question)</t>
        </is>
      </c>
      <c r="J30" s="32" t="n"/>
      <c r="K30" s="33" t="inlineStr">
        <is>
          <t>2</t>
        </is>
      </c>
    </row>
    <row r="31">
      <c r="A31" s="32" t="inlineStr">
        <is>
          <t>R028</t>
        </is>
      </c>
      <c r="B31" s="32" t="inlineStr">
        <is>
          <t>Not started</t>
        </is>
      </c>
      <c r="C31" s="32" t="inlineStr">
        <is>
          <t>Default</t>
        </is>
      </c>
      <c r="D31" s="32" t="inlineStr">
        <is>
          <t>FI date investing</t>
        </is>
      </c>
      <c r="E31" s="32" t="inlineStr">
        <is>
          <t>Always</t>
        </is>
      </c>
      <c r="F31" s="32" t="inlineStr">
        <is>
          <t>Monthly surplus counts as invested until an investing split is entered</t>
        </is>
      </c>
      <c r="G31" s="32" t="n"/>
      <c r="H31" s="32" t="n"/>
      <c r="I31" s="32" t="inlineStr">
        <is>
          <t>Decided (Oct 28, from Claude Code's question)</t>
        </is>
      </c>
      <c r="J31" s="32" t="n"/>
      <c r="K31" s="33" t="inlineStr">
        <is>
          <t>2</t>
        </is>
      </c>
    </row>
    <row r="32">
      <c r="A32" s="32" t="inlineStr">
        <is>
          <t>R029</t>
        </is>
      </c>
      <c r="B32" s="32" t="inlineStr">
        <is>
          <t>Not started</t>
        </is>
      </c>
      <c r="C32" s="32" t="inlineStr">
        <is>
          <t>Default</t>
        </is>
      </c>
      <c r="D32" s="32" t="inlineStr">
        <is>
          <t>Plan</t>
        </is>
      </c>
      <c r="E32" s="32" t="inlineStr">
        <is>
          <t>Always</t>
        </is>
      </c>
      <c r="F32" s="32" t="inlineStr">
        <is>
          <t>A 'These are big deals' card shows the FI date under each preset side by side, so the client sees how much one assumption moves it</t>
        </is>
      </c>
      <c r="G32" s="32" t="n"/>
      <c r="H32" s="32" t="n"/>
      <c r="I32" s="32" t="inlineStr">
        <is>
          <t>Decided (Oct 28)</t>
        </is>
      </c>
      <c r="J32" s="32" t="n"/>
      <c r="K32" s="33" t="inlineStr">
        <is>
          <t>2</t>
        </is>
      </c>
    </row>
    <row r="33">
      <c r="A33" s="32" t="inlineStr">
        <is>
          <t>R030</t>
        </is>
      </c>
      <c r="B33" s="32" t="inlineStr">
        <is>
          <t>Not started</t>
        </is>
      </c>
      <c r="C33" s="32" t="inlineStr">
        <is>
          <t>Default</t>
        </is>
      </c>
      <c r="D33" s="32" t="inlineStr">
        <is>
          <t>Goals</t>
        </is>
      </c>
      <c r="E33" s="32" t="inlineStr">
        <is>
          <t>No pace picked</t>
        </is>
      </c>
      <c r="F33" s="32" t="inlineStr">
        <is>
          <t>Likely (the default presets); Optimistic and Pessimistic use the 8% and 6% presets</t>
        </is>
      </c>
      <c r="G33" s="32" t="n"/>
      <c r="H33" s="32" t="n"/>
      <c r="I33" s="32" t="inlineStr">
        <is>
          <t>Decided (Oct 28, replaces Optimistic default)</t>
        </is>
      </c>
      <c r="J33" s="32" t="n"/>
      <c r="K33" s="33" t="inlineStr">
        <is>
          <t>2</t>
        </is>
      </c>
    </row>
    <row r="34">
      <c r="A34" s="32" t="inlineStr">
        <is>
          <t>R031</t>
        </is>
      </c>
      <c r="B34" s="32" t="inlineStr">
        <is>
          <t>Not started</t>
        </is>
      </c>
      <c r="C34" s="32" t="inlineStr">
        <is>
          <t>Default</t>
        </is>
      </c>
      <c r="D34" s="32" t="inlineStr">
        <is>
          <t>Goals</t>
        </is>
      </c>
      <c r="E34" s="32" t="inlineStr">
        <is>
          <t>No life expectancy</t>
        </is>
      </c>
      <c r="F34" s="32" t="inlineStr">
        <is>
          <t>90</t>
        </is>
      </c>
      <c r="G34" s="32" t="n"/>
      <c r="H34" s="32" t="inlineStr">
        <is>
          <t>ProjectionLab uses 85</t>
        </is>
      </c>
      <c r="I34" s="32" t="inlineStr">
        <is>
          <t>Decided (accepted Oct 28; was proposed)</t>
        </is>
      </c>
      <c r="J34" s="32" t="n"/>
      <c r="K34" s="33" t="inlineStr">
        <is>
          <t>2</t>
        </is>
      </c>
    </row>
    <row r="35">
      <c r="A35" s="32" t="inlineStr">
        <is>
          <t>R032</t>
        </is>
      </c>
      <c r="B35" s="32" t="inlineStr">
        <is>
          <t>Not started</t>
        </is>
      </c>
      <c r="C35" s="32" t="inlineStr">
        <is>
          <t>Default</t>
        </is>
      </c>
      <c r="D35" s="32" t="inlineStr">
        <is>
          <t>Goals</t>
        </is>
      </c>
      <c r="E35" s="32" t="inlineStr">
        <is>
          <t>No retirement spending</t>
        </is>
      </c>
      <c r="F35" s="32" t="inlineStr">
        <is>
          <t>Equals current spending</t>
        </is>
      </c>
      <c r="G35" s="32" t="n"/>
      <c r="H35" s="32" t="n"/>
      <c r="I35" s="32" t="inlineStr">
        <is>
          <t>Decided (accepted Oct 28; was proposed)</t>
        </is>
      </c>
      <c r="J35" s="32" t="n"/>
      <c r="K35" s="33" t="inlineStr">
        <is>
          <t>2</t>
        </is>
      </c>
    </row>
    <row r="36">
      <c r="A36" s="32" t="inlineStr">
        <is>
          <t>R033</t>
        </is>
      </c>
      <c r="B36" s="32" t="inlineStr">
        <is>
          <t>Not started</t>
        </is>
      </c>
      <c r="C36" s="32" t="inlineStr">
        <is>
          <t>Default</t>
        </is>
      </c>
      <c r="D36" s="32" t="inlineStr">
        <is>
          <t>Goals</t>
        </is>
      </c>
      <c r="E36" s="32" t="inlineStr">
        <is>
          <t>Social Security not set</t>
        </is>
      </c>
      <c r="F36" s="32" t="inlineStr">
        <is>
          <t>Full scheduled benefit (likely case), never zero by default</t>
        </is>
      </c>
      <c r="G36" s="32" t="n"/>
      <c r="H36" s="32" t="n"/>
      <c r="I36" s="32" t="inlineStr">
        <is>
          <t>Decided (Oct 2)</t>
        </is>
      </c>
      <c r="J36" s="32" t="n"/>
      <c r="K36" s="33" t="inlineStr">
        <is>
          <t>2</t>
        </is>
      </c>
    </row>
    <row r="37">
      <c r="A37" s="32" t="inlineStr">
        <is>
          <t>R034</t>
        </is>
      </c>
      <c r="B37" s="32" t="inlineStr">
        <is>
          <t>Not started</t>
        </is>
      </c>
      <c r="C37" s="32" t="inlineStr">
        <is>
          <t>Default</t>
        </is>
      </c>
      <c r="D37" s="32" t="inlineStr">
        <is>
          <t>Engine</t>
        </is>
      </c>
      <c r="E37" s="32" t="inlineStr">
        <is>
          <t>Always</t>
        </is>
      </c>
      <c r="F37" s="32" t="inlineStr">
        <is>
          <t>Real (today's) dollars; nominal is a toggle</t>
        </is>
      </c>
      <c r="G37" s="32" t="n"/>
      <c r="H37" s="32" t="n"/>
      <c r="I37" s="32" t="inlineStr">
        <is>
          <t>Decided (Oct 2)</t>
        </is>
      </c>
      <c r="J37" s="32" t="n"/>
      <c r="K37" s="33" t="inlineStr">
        <is>
          <t>2</t>
        </is>
      </c>
    </row>
    <row r="38">
      <c r="A38" s="32" t="inlineStr">
        <is>
          <t>R035</t>
        </is>
      </c>
      <c r="B38" s="32" t="inlineStr">
        <is>
          <t>Not started</t>
        </is>
      </c>
      <c r="C38" s="32" t="inlineStr">
        <is>
          <t>Default</t>
        </is>
      </c>
      <c r="D38" s="32" t="inlineStr">
        <is>
          <t>Split by</t>
        </is>
      </c>
      <c r="E38" s="32" t="inlineStr">
        <is>
          <t>Roommates entered</t>
        </is>
      </c>
      <c r="F38" s="32" t="inlineStr">
        <is>
          <t>Every shared Needs line defaults to split by roommates + 1</t>
        </is>
      </c>
      <c r="G38" s="32" t="inlineStr">
        <is>
          <t>Client can override per line or just type 'my share'</t>
        </is>
      </c>
      <c r="H38" s="32" t="n"/>
      <c r="I38" s="32" t="inlineStr">
        <is>
          <t>Decided (your Fields comment)</t>
        </is>
      </c>
      <c r="J38" s="32" t="n"/>
      <c r="K38" s="33" t="inlineStr">
        <is>
          <t>2</t>
        </is>
      </c>
    </row>
    <row r="39">
      <c r="A39" s="32" t="inlineStr">
        <is>
          <t>R036</t>
        </is>
      </c>
      <c r="B39" s="32" t="inlineStr">
        <is>
          <t>Not started</t>
        </is>
      </c>
      <c r="C39" s="32" t="inlineStr">
        <is>
          <t>Default</t>
        </is>
      </c>
      <c r="D39" s="32" t="inlineStr">
        <is>
          <t>Housing = Family</t>
        </is>
      </c>
      <c r="E39" s="32" t="inlineStr">
        <is>
          <t>Housing line</t>
        </is>
      </c>
      <c r="F39" s="32" t="inlineStr">
        <is>
          <t>Defaults to 'Covered by someone' with Covered by = Parents</t>
        </is>
      </c>
      <c r="G39" s="32" t="n"/>
      <c r="H39" s="32" t="n"/>
      <c r="I39" s="32" t="inlineStr">
        <is>
          <t>Decided (accepted Oct 28; was proposed)</t>
        </is>
      </c>
      <c r="J39" s="32" t="n"/>
      <c r="K39" s="33" t="inlineStr">
        <is>
          <t>2</t>
        </is>
      </c>
    </row>
    <row r="40">
      <c r="A40" s="32" t="inlineStr">
        <is>
          <t>R037</t>
        </is>
      </c>
      <c r="B40" s="32" t="inlineStr">
        <is>
          <t>Not started</t>
        </is>
      </c>
      <c r="C40" s="32" t="inlineStr">
        <is>
          <t>Default</t>
        </is>
      </c>
      <c r="D40" s="32" t="inlineStr">
        <is>
          <t>APR = Not sure</t>
        </is>
      </c>
      <c r="E40" s="32" t="inlineStr">
        <is>
          <t>Debt row</t>
        </is>
      </c>
      <c r="F40" s="32" t="inlineStr">
        <is>
          <t>Fills the typical rate for that debt type from Reference data (Federal Reserve G.19), labeled Guess</t>
        </is>
      </c>
      <c r="G40" s="32" t="n"/>
      <c r="H40" s="32" t="inlineStr">
        <is>
          <t>Credit card 22.15%, personal loan 11.86%, car 7.14%</t>
        </is>
      </c>
      <c r="I40" s="32" t="inlineStr">
        <is>
          <t>Decided (Oct 28; Guess wins over Roughly here)</t>
        </is>
      </c>
      <c r="J40" s="32" t="n"/>
      <c r="K40" s="33" t="inlineStr">
        <is>
          <t>2</t>
        </is>
      </c>
    </row>
    <row r="41">
      <c r="A41" s="32" t="inlineStr">
        <is>
          <t>R038</t>
        </is>
      </c>
      <c r="B41" s="32" t="inlineStr">
        <is>
          <t>Not started</t>
        </is>
      </c>
      <c r="C41" s="32" t="inlineStr">
        <is>
          <t>Default</t>
        </is>
      </c>
      <c r="D41" s="32" t="inlineStr">
        <is>
          <t>Min payment</t>
        </is>
      </c>
      <c r="E41" s="32" t="inlineStr">
        <is>
          <t>Credit card balance and APR exist</t>
        </is>
      </c>
      <c r="F41" s="32" t="inlineStr">
        <is>
          <t>Minimum is computed and shown in Primary; client can overwrite with the statement number</t>
        </is>
      </c>
      <c r="G41" s="32" t="n"/>
      <c r="H41" s="32" t="n"/>
      <c r="I41" s="32" t="inlineStr">
        <is>
          <t>Decided (your Mockup comment)</t>
        </is>
      </c>
      <c r="J41" s="32" t="n"/>
      <c r="K41" s="33" t="inlineStr">
        <is>
          <t>2</t>
        </is>
      </c>
    </row>
    <row r="42">
      <c r="A42" s="32" t="inlineStr">
        <is>
          <t>R039</t>
        </is>
      </c>
      <c r="B42" s="32" t="inlineStr">
        <is>
          <t>Not started</t>
        </is>
      </c>
      <c r="C42" s="32" t="inlineStr">
        <is>
          <t>Default</t>
        </is>
      </c>
      <c r="D42" s="32" t="inlineStr">
        <is>
          <t>Credit card payment</t>
        </is>
      </c>
      <c r="E42" s="32" t="inlineStr">
        <is>
          <t>No choice made</t>
        </is>
      </c>
      <c r="F42" s="32" t="inlineStr">
        <is>
          <t>Minimum</t>
        </is>
      </c>
      <c r="G42" s="32" t="n"/>
      <c r="H42" s="32" t="n"/>
      <c r="I42" s="32" t="inlineStr">
        <is>
          <t>Decided (accepted Oct 28; was proposed)</t>
        </is>
      </c>
      <c r="J42" s="32" t="n"/>
      <c r="K42" s="33" t="inlineStr">
        <is>
          <t>2</t>
        </is>
      </c>
    </row>
    <row r="43">
      <c r="A43" s="32" t="inlineStr">
        <is>
          <t>R040</t>
        </is>
      </c>
      <c r="B43" s="32" t="inlineStr">
        <is>
          <t>Not started</t>
        </is>
      </c>
      <c r="C43" s="32" t="inlineStr">
        <is>
          <t>Default</t>
        </is>
      </c>
      <c r="D43" s="32" t="inlineStr">
        <is>
          <t>Tax set-aside</t>
        </is>
      </c>
      <c r="E43" s="32" t="inlineStr">
        <is>
          <t>Self-employed, no % entered</t>
        </is>
      </c>
      <c r="F43" s="32" t="inlineStr">
        <is>
          <t>25%</t>
        </is>
      </c>
      <c r="G43" s="32" t="n"/>
      <c r="H43" s="32" t="n"/>
      <c r="I43" s="32" t="inlineStr">
        <is>
          <t>Decided (accepted Oct 28; was proposed)</t>
        </is>
      </c>
      <c r="J43" s="32" t="n"/>
      <c r="K43" s="33" t="inlineStr">
        <is>
          <t>2</t>
        </is>
      </c>
    </row>
    <row r="44">
      <c r="A44" s="32" t="inlineStr">
        <is>
          <t>R041</t>
        </is>
      </c>
      <c r="B44" s="32" t="inlineStr">
        <is>
          <t>Not started</t>
        </is>
      </c>
      <c r="C44" s="32" t="inlineStr">
        <is>
          <t>Default</t>
        </is>
      </c>
      <c r="D44" s="32" t="inlineStr">
        <is>
          <t>Session length</t>
        </is>
      </c>
      <c r="E44" s="32" t="inlineStr">
        <is>
          <t>Not set</t>
        </is>
      </c>
      <c r="F44" s="32" t="inlineStr">
        <is>
          <t>60 minutes</t>
        </is>
      </c>
      <c r="G44" s="32" t="n"/>
      <c r="H44" s="32" t="n"/>
      <c r="I44" s="32" t="inlineStr">
        <is>
          <t>Decided (accepted Oct 28; was proposed)</t>
        </is>
      </c>
      <c r="J44" s="32" t="n"/>
      <c r="K44" s="33" t="inlineStr">
        <is>
          <t>2</t>
        </is>
      </c>
    </row>
    <row r="45">
      <c r="A45" s="32" t="inlineStr">
        <is>
          <t>R042</t>
        </is>
      </c>
      <c r="B45" s="32" t="inlineStr">
        <is>
          <t>Not started</t>
        </is>
      </c>
      <c r="C45" s="32" t="inlineStr">
        <is>
          <t>Default</t>
        </is>
      </c>
      <c r="D45" s="32" t="inlineStr">
        <is>
          <t>Low balance line</t>
        </is>
      </c>
      <c r="E45" s="32" t="inlineStr">
        <is>
          <t>Not set</t>
        </is>
      </c>
      <c r="F45" s="32" t="inlineStr">
        <is>
          <t>$500</t>
        </is>
      </c>
      <c r="G45" s="32" t="n"/>
      <c r="H45" s="32" t="n"/>
      <c r="I45" s="32" t="inlineStr">
        <is>
          <t>Decided (accepted Oct 28; was proposed)</t>
        </is>
      </c>
      <c r="J45" s="32" t="n"/>
      <c r="K45" s="33" t="inlineStr">
        <is>
          <t>2</t>
        </is>
      </c>
    </row>
    <row r="46">
      <c r="A46" s="32" t="inlineStr">
        <is>
          <t>R043</t>
        </is>
      </c>
      <c r="B46" s="32" t="inlineStr">
        <is>
          <t>Not started</t>
        </is>
      </c>
      <c r="C46" s="32" t="inlineStr">
        <is>
          <t>Default</t>
        </is>
      </c>
      <c r="D46" s="32" t="inlineStr">
        <is>
          <t>Filing status</t>
        </is>
      </c>
      <c r="E46" s="32" t="inlineStr">
        <is>
          <t>Solo, not set</t>
        </is>
      </c>
      <c r="F46" s="32" t="inlineStr">
        <is>
          <t>Single (marked Coach infers)</t>
        </is>
      </c>
      <c r="G46" s="32" t="inlineStr">
        <is>
          <t>Couple: Married filing jointly (marked Coach infers)</t>
        </is>
      </c>
      <c r="H46" s="32" t="n"/>
      <c r="I46" s="32" t="inlineStr">
        <is>
          <t>Decided (accepted Oct 28; was proposed)</t>
        </is>
      </c>
      <c r="J46" s="32" t="n"/>
      <c r="K46" s="33" t="inlineStr">
        <is>
          <t>2</t>
        </is>
      </c>
    </row>
    <row r="47">
      <c r="A47" s="32" t="inlineStr">
        <is>
          <t>R044</t>
        </is>
      </c>
      <c r="B47" s="32" t="inlineStr">
        <is>
          <t>Not started</t>
        </is>
      </c>
      <c r="C47" s="32" t="inlineStr">
        <is>
          <t>Default</t>
        </is>
      </c>
      <c r="D47" s="32" t="inlineStr">
        <is>
          <t>Period selector</t>
        </is>
      </c>
      <c r="E47" s="32" t="inlineStr">
        <is>
          <t>Spending opened</t>
        </is>
      </c>
      <c r="F47" s="32" t="inlineStr">
        <is>
          <t>Monthly</t>
        </is>
      </c>
      <c r="G47" s="32" t="n"/>
      <c r="H47" s="32" t="n"/>
      <c r="I47" s="32" t="inlineStr">
        <is>
          <t>Decided (Oct 22: monthly default)</t>
        </is>
      </c>
      <c r="J47" s="32" t="n"/>
      <c r="K47" s="33" t="inlineStr">
        <is>
          <t>2</t>
        </is>
      </c>
    </row>
    <row r="48">
      <c r="A48" s="32" t="inlineStr">
        <is>
          <t>R045</t>
        </is>
      </c>
      <c r="B48" s="32" t="inlineStr">
        <is>
          <t>Not started</t>
        </is>
      </c>
      <c r="C48" s="32" t="inlineStr">
        <is>
          <t>Entry</t>
        </is>
      </c>
      <c r="D48" s="32" t="inlineStr">
        <is>
          <t>Any amount with a 'per' picker</t>
        </is>
      </c>
      <c r="E48" s="32" t="inlineStr">
        <is>
          <t>Amount entered per paycheck, week, month or year</t>
        </is>
      </c>
      <c r="F48" s="32" t="inlineStr">
        <is>
          <t>Stored as monthly; shown back in the unit it was entered</t>
        </is>
      </c>
      <c r="G48" s="32" t="n"/>
      <c r="H48" s="32" t="n"/>
      <c r="I48" s="32" t="inlineStr">
        <is>
          <t>Decided (Sept 23: any way a number can be given)</t>
        </is>
      </c>
      <c r="J48" s="32" t="n"/>
      <c r="K48" s="33" t="inlineStr">
        <is>
          <t>3-6</t>
        </is>
      </c>
    </row>
    <row r="49">
      <c r="A49" s="32" t="inlineStr">
        <is>
          <t>R046</t>
        </is>
      </c>
      <c r="B49" s="32" t="inlineStr">
        <is>
          <t>Not started</t>
        </is>
      </c>
      <c r="C49" s="32" t="inlineStr">
        <is>
          <t>Entry</t>
        </is>
      </c>
      <c r="D49" s="32" t="inlineStr">
        <is>
          <t>Income</t>
        </is>
      </c>
      <c r="E49" s="32" t="inlineStr">
        <is>
          <t>Only take-home entered</t>
        </is>
      </c>
      <c r="F49" s="32" t="inlineStr">
        <is>
          <t>Gross is solved and marked Computed</t>
        </is>
      </c>
      <c r="G49" s="32" t="inlineStr">
        <is>
          <t>Only gross entered: take-home solved. Both: both kept, difference flagged if they don't reconcile</t>
        </is>
      </c>
      <c r="H49" s="32" t="n"/>
      <c r="I49" s="32" t="inlineStr">
        <is>
          <t>Decided (Oct 2)</t>
        </is>
      </c>
      <c r="J49" s="32" t="n"/>
      <c r="K49" s="33" t="inlineStr">
        <is>
          <t>3-6</t>
        </is>
      </c>
    </row>
    <row r="50">
      <c r="A50" s="32" t="inlineStr">
        <is>
          <t>R047</t>
        </is>
      </c>
      <c r="B50" s="32" t="inlineStr">
        <is>
          <t>Not started</t>
        </is>
      </c>
      <c r="C50" s="32" t="inlineStr">
        <is>
          <t>Entry</t>
        </is>
      </c>
      <c r="D50" s="32" t="inlineStr">
        <is>
          <t>Pickers</t>
        </is>
      </c>
      <c r="E50" s="32" t="inlineStr">
        <is>
          <t>Typing</t>
        </is>
      </c>
      <c r="F50" s="32" t="inlineStr">
        <is>
          <t>Matches start after 1 letter; Enter picks the top match; free text allowed as 'Other'</t>
        </is>
      </c>
      <c r="G50" s="32" t="n"/>
      <c r="H50" s="32" t="n"/>
      <c r="I50" s="32" t="inlineStr">
        <is>
          <t>Decided (Oct 27: type a little and pick)</t>
        </is>
      </c>
      <c r="J50" s="32" t="n"/>
      <c r="K50" s="33" t="inlineStr">
        <is>
          <t>3-6</t>
        </is>
      </c>
    </row>
    <row r="51">
      <c r="A51" s="32" t="inlineStr">
        <is>
          <t>R048</t>
        </is>
      </c>
      <c r="B51" s="32" t="inlineStr">
        <is>
          <t>Not started</t>
        </is>
      </c>
      <c r="C51" s="32" t="inlineStr">
        <is>
          <t>Entry</t>
        </is>
      </c>
      <c r="D51" s="32" t="inlineStr">
        <is>
          <t>Every section</t>
        </is>
      </c>
      <c r="E51" s="32" t="inlineStr">
        <is>
          <t>Client has something not on the list</t>
        </is>
      </c>
      <c r="F51" s="32" t="inlineStr">
        <is>
          <t>'Other' row with name, amount, type is always available</t>
        </is>
      </c>
      <c r="G51" s="32" t="n"/>
      <c r="H51" s="32" t="n"/>
      <c r="I51" s="32" t="inlineStr">
        <is>
          <t>Decided (session gaps)</t>
        </is>
      </c>
      <c r="J51" s="32" t="n"/>
      <c r="K51" s="33" t="inlineStr">
        <is>
          <t>3-6</t>
        </is>
      </c>
    </row>
    <row r="52">
      <c r="A52" s="32" t="inlineStr">
        <is>
          <t>R049</t>
        </is>
      </c>
      <c r="B52" s="32" t="inlineStr">
        <is>
          <t>Not started</t>
        </is>
      </c>
      <c r="C52" s="32" t="inlineStr">
        <is>
          <t>Entry</t>
        </is>
      </c>
      <c r="D52" s="32" t="inlineStr">
        <is>
          <t>Car loan / mortgage</t>
        </is>
      </c>
      <c r="E52" s="32" t="inlineStr">
        <is>
          <t>Entered on either the asset or the debt</t>
        </is>
      </c>
      <c r="F52" s="32" t="inlineStr">
        <is>
          <t>Same record shows in both places; editing one edits the other</t>
        </is>
      </c>
      <c r="G52" s="32" t="n"/>
      <c r="H52" s="32" t="n"/>
      <c r="I52" s="32" t="inlineStr">
        <is>
          <t>Decided (screen review)</t>
        </is>
      </c>
      <c r="J52" s="32" t="n"/>
      <c r="K52" s="33" t="inlineStr">
        <is>
          <t>3-6</t>
        </is>
      </c>
    </row>
    <row r="53">
      <c r="A53" s="32" t="inlineStr">
        <is>
          <t>R050</t>
        </is>
      </c>
      <c r="B53" s="32" t="inlineStr">
        <is>
          <t>Not started</t>
        </is>
      </c>
      <c r="C53" s="32" t="inlineStr">
        <is>
          <t>Entry</t>
        </is>
      </c>
      <c r="D53" s="32" t="inlineStr">
        <is>
          <t>Calendar</t>
        </is>
      </c>
      <c r="E53" s="32" t="inlineStr">
        <is>
          <t>Credit card or loan has a due day</t>
        </is>
      </c>
      <c r="F53" s="32" t="inlineStr">
        <is>
          <t>Payment appears on the calendar automatically, repeating monthly</t>
        </is>
      </c>
      <c r="G53" s="32" t="n"/>
      <c r="H53" s="32" t="n"/>
      <c r="I53" s="32" t="inlineStr">
        <is>
          <t>Decided (screen review)</t>
        </is>
      </c>
      <c r="J53" s="32" t="n"/>
      <c r="K53" s="33" t="inlineStr">
        <is>
          <t>3-6</t>
        </is>
      </c>
    </row>
    <row r="54">
      <c r="A54" s="32" t="inlineStr">
        <is>
          <t>R051</t>
        </is>
      </c>
      <c r="B54" s="32" t="inlineStr">
        <is>
          <t>Not started</t>
        </is>
      </c>
      <c r="C54" s="32" t="inlineStr">
        <is>
          <t>Entry</t>
        </is>
      </c>
      <c r="D54" s="32" t="inlineStr">
        <is>
          <t>Irregular costs</t>
        </is>
      </c>
      <c r="E54" s="32" t="inlineStr">
        <is>
          <t>Yearly cost and month entered</t>
        </is>
      </c>
      <c r="F54" s="32" t="inlineStr">
        <is>
          <t>Lands on the calendar in that month and creates a monthly set-aside</t>
        </is>
      </c>
      <c r="G54" s="32" t="n"/>
      <c r="H54" s="32" t="n"/>
      <c r="I54" s="32" t="inlineStr">
        <is>
          <t>Decided (accepted Oct 28; was proposed)</t>
        </is>
      </c>
      <c r="J54" s="32" t="n"/>
      <c r="K54" s="33" t="inlineStr">
        <is>
          <t>3-6</t>
        </is>
      </c>
    </row>
    <row r="55">
      <c r="A55" s="32" t="inlineStr">
        <is>
          <t>R052</t>
        </is>
      </c>
      <c r="B55" s="32" t="inlineStr">
        <is>
          <t>Not started</t>
        </is>
      </c>
      <c r="C55" s="32" t="inlineStr">
        <is>
          <t>Entry</t>
        </is>
      </c>
      <c r="D55" s="32" t="inlineStr">
        <is>
          <t>Budget actuals</t>
        </is>
      </c>
      <c r="E55" s="32" t="inlineStr">
        <is>
          <t>Calendar entries marked Got it / Paid</t>
        </is>
      </c>
      <c r="F55" s="32" t="inlineStr">
        <is>
          <t>Feed the budget line's Actual</t>
        </is>
      </c>
      <c r="G55" s="32" t="n"/>
      <c r="H55" s="32" t="n"/>
      <c r="I55" s="32" t="inlineStr">
        <is>
          <t>Decided (Oct 16 ice cream sandwich)</t>
        </is>
      </c>
      <c r="J55" s="32" t="n"/>
      <c r="K55" s="33" t="inlineStr">
        <is>
          <t>3-6</t>
        </is>
      </c>
    </row>
    <row r="56">
      <c r="A56" s="32" t="inlineStr">
        <is>
          <t>R053</t>
        </is>
      </c>
      <c r="B56" s="32" t="inlineStr">
        <is>
          <t>Not started</t>
        </is>
      </c>
      <c r="C56" s="32" t="inlineStr">
        <is>
          <t>Entry</t>
        </is>
      </c>
      <c r="D56" s="32" t="inlineStr">
        <is>
          <t>Parking lot</t>
        </is>
      </c>
      <c r="E56" s="32" t="inlineStr">
        <is>
          <t>Note converted to a field</t>
        </is>
      </c>
      <c r="F56" s="32" t="inlineStr">
        <is>
          <t>Note is struck through and links to that field</t>
        </is>
      </c>
      <c r="G56" s="32" t="n"/>
      <c r="H56" s="32" t="n"/>
      <c r="I56" s="32" t="inlineStr">
        <is>
          <t>Decided (accepted Oct 28; was proposed)</t>
        </is>
      </c>
      <c r="J56" s="32" t="n"/>
      <c r="K56" s="33" t="inlineStr">
        <is>
          <t>3-6</t>
        </is>
      </c>
    </row>
    <row r="57">
      <c r="A57" s="32" t="inlineStr">
        <is>
          <t>R054</t>
        </is>
      </c>
      <c r="B57" s="32" t="inlineStr">
        <is>
          <t>Not started</t>
        </is>
      </c>
      <c r="C57" s="32" t="inlineStr">
        <is>
          <t>Status and confidence</t>
        </is>
      </c>
      <c r="D57" s="32" t="inlineStr">
        <is>
          <t>Every input</t>
        </is>
      </c>
      <c r="E57" s="32" t="inlineStr">
        <is>
          <t>Value typed</t>
        </is>
      </c>
      <c r="F57" s="32" t="inlineStr">
        <is>
          <t>Status = Know it unless changed</t>
        </is>
      </c>
      <c r="G57" s="32" t="n"/>
      <c r="H57" s="32" t="n"/>
      <c r="I57" s="32" t="inlineStr">
        <is>
          <t>Decided (accepted Oct 28; was proposed)</t>
        </is>
      </c>
      <c r="J57" s="32" t="n"/>
      <c r="K57" s="33" t="inlineStr">
        <is>
          <t>1-3</t>
        </is>
      </c>
    </row>
    <row r="58">
      <c r="A58" s="32" t="inlineStr">
        <is>
          <t>R055</t>
        </is>
      </c>
      <c r="B58" s="32" t="inlineStr">
        <is>
          <t>Not started</t>
        </is>
      </c>
      <c r="C58" s="32" t="inlineStr">
        <is>
          <t>Status and confidence</t>
        </is>
      </c>
      <c r="D58" s="32" t="inlineStr">
        <is>
          <t>Every input</t>
        </is>
      </c>
      <c r="E58" s="32" t="inlineStr">
        <is>
          <t>Status picked</t>
        </is>
      </c>
      <c r="F58" s="32" t="inlineStr">
        <is>
          <t>One of: Know it, Roughly, Not sure, Will email, Not now, Not for me, Computed</t>
        </is>
      </c>
      <c r="G58" s="32" t="n"/>
      <c r="H58" s="32" t="n"/>
      <c r="I58" s="32" t="inlineStr">
        <is>
          <t>Decided (Oct 27, list pending your final OK)</t>
        </is>
      </c>
      <c r="J58" s="32" t="n"/>
      <c r="K58" s="33" t="inlineStr">
        <is>
          <t>1-3</t>
        </is>
      </c>
    </row>
    <row r="59">
      <c r="A59" s="32" t="inlineStr">
        <is>
          <t>R056</t>
        </is>
      </c>
      <c r="B59" s="32" t="inlineStr">
        <is>
          <t>Not started</t>
        </is>
      </c>
      <c r="C59" s="32" t="inlineStr">
        <is>
          <t>Status and confidence</t>
        </is>
      </c>
      <c r="D59" s="32" t="inlineStr">
        <is>
          <t>Status = Roughly</t>
        </is>
      </c>
      <c r="E59" s="32" t="inlineStr">
        <is>
          <t>Any field</t>
        </is>
      </c>
      <c r="F59" s="32" t="inlineStr">
        <is>
          <t>Counts as done, shows ≈, gets a next check date</t>
        </is>
      </c>
      <c r="G59" s="32" t="n"/>
      <c r="H59" s="32" t="n"/>
      <c r="I59" s="32" t="inlineStr">
        <is>
          <t>Decided (Oct 27)</t>
        </is>
      </c>
      <c r="J59" s="32" t="n"/>
      <c r="K59" s="33" t="inlineStr">
        <is>
          <t>1-3</t>
        </is>
      </c>
    </row>
    <row r="60">
      <c r="A60" s="32" t="inlineStr">
        <is>
          <t>R057</t>
        </is>
      </c>
      <c r="B60" s="32" t="inlineStr">
        <is>
          <t>Not started</t>
        </is>
      </c>
      <c r="C60" s="32" t="inlineStr">
        <is>
          <t>Status and confidence</t>
        </is>
      </c>
      <c r="D60" s="32" t="inlineStr">
        <is>
          <t>Status = Not sure</t>
        </is>
      </c>
      <c r="E60" s="32" t="inlineStr">
        <is>
          <t>Any field</t>
        </is>
      </c>
      <c r="F60" s="32" t="inlineStr">
        <is>
          <t>App fills a typical value labeled Guess. Different from Roughly: Roughly is the client's own ballpark, Guess is the app's number. Counts toward core but flagged</t>
        </is>
      </c>
      <c r="G60" s="32" t="n"/>
      <c r="H60" s="32" t="n"/>
      <c r="I60" s="32" t="inlineStr">
        <is>
          <t>Decided (accepted Oct 28; was proposed)</t>
        </is>
      </c>
      <c r="J60" s="32" t="n"/>
      <c r="K60" s="33" t="inlineStr">
        <is>
          <t>1-3</t>
        </is>
      </c>
    </row>
    <row r="61">
      <c r="A61" s="32" t="inlineStr">
        <is>
          <t>R058</t>
        </is>
      </c>
      <c r="B61" s="32" t="inlineStr">
        <is>
          <t>Not started</t>
        </is>
      </c>
      <c r="C61" s="32" t="inlineStr">
        <is>
          <t>Status and confidence</t>
        </is>
      </c>
      <c r="D61" s="32" t="inlineStr">
        <is>
          <t>Status = Will email</t>
        </is>
      </c>
      <c r="E61" s="32" t="inlineStr">
        <is>
          <t>Any field</t>
        </is>
      </c>
      <c r="F61" s="32" t="inlineStr">
        <is>
          <t>Added to homework list with the field name; counts as not done</t>
        </is>
      </c>
      <c r="G61" s="32" t="n"/>
      <c r="H61" s="32" t="n"/>
      <c r="I61" s="32" t="inlineStr">
        <is>
          <t>Decided (homework)</t>
        </is>
      </c>
      <c r="J61" s="32" t="n"/>
      <c r="K61" s="33" t="inlineStr">
        <is>
          <t>1-3</t>
        </is>
      </c>
    </row>
    <row r="62">
      <c r="A62" s="32" t="inlineStr">
        <is>
          <t>R059</t>
        </is>
      </c>
      <c r="B62" s="32" t="inlineStr">
        <is>
          <t>Not started</t>
        </is>
      </c>
      <c r="C62" s="32" t="inlineStr">
        <is>
          <t>Status and confidence</t>
        </is>
      </c>
      <c r="D62" s="32" t="inlineStr">
        <is>
          <t>Status = Not now</t>
        </is>
      </c>
      <c r="E62" s="32" t="inlineStr">
        <is>
          <t>Any field</t>
        </is>
      </c>
      <c r="F62" s="32" t="inlineStr">
        <is>
          <t>Parked; stays on the revisit list; not done</t>
        </is>
      </c>
      <c r="G62" s="32" t="n"/>
      <c r="H62" s="32" t="n"/>
      <c r="I62" s="32" t="inlineStr">
        <is>
          <t>Decided (Oct 27)</t>
        </is>
      </c>
      <c r="J62" s="32" t="n"/>
      <c r="K62" s="33" t="inlineStr">
        <is>
          <t>1-3</t>
        </is>
      </c>
    </row>
    <row r="63">
      <c r="A63" s="32" t="inlineStr">
        <is>
          <t>R060</t>
        </is>
      </c>
      <c r="B63" s="32" t="inlineStr">
        <is>
          <t>Not started</t>
        </is>
      </c>
      <c r="C63" s="32" t="inlineStr">
        <is>
          <t>Status and confidence</t>
        </is>
      </c>
      <c r="D63" s="32" t="inlineStr">
        <is>
          <t>Status = Not for me / N/A</t>
        </is>
      </c>
      <c r="E63" s="32" t="inlineStr">
        <is>
          <t>Any field or line</t>
        </is>
      </c>
      <c r="F63" s="32" t="inlineStr">
        <is>
          <t>Counts as done; value treated as zero</t>
        </is>
      </c>
      <c r="G63" s="32" t="n"/>
      <c r="H63" s="32" t="n"/>
      <c r="I63" s="32" t="inlineStr">
        <is>
          <t>Decided (Oct 27)</t>
        </is>
      </c>
      <c r="J63" s="32" t="n"/>
      <c r="K63" s="33" t="inlineStr">
        <is>
          <t>1-3</t>
        </is>
      </c>
    </row>
    <row r="64">
      <c r="A64" s="32" t="inlineStr">
        <is>
          <t>R061</t>
        </is>
      </c>
      <c r="B64" s="32" t="inlineStr">
        <is>
          <t>Not started</t>
        </is>
      </c>
      <c r="C64" s="32" t="inlineStr">
        <is>
          <t>Status and confidence</t>
        </is>
      </c>
      <c r="D64" s="32" t="inlineStr">
        <is>
          <t>Row status</t>
        </is>
      </c>
      <c r="E64" s="32" t="inlineStr">
        <is>
          <t>Row-level status set</t>
        </is>
      </c>
      <c r="F64" s="32" t="inlineStr">
        <is>
          <t>Applies to every field in the row unless a field has its own</t>
        </is>
      </c>
      <c r="G64" s="32" t="n"/>
      <c r="H64" s="32" t="n"/>
      <c r="I64" s="32" t="inlineStr">
        <is>
          <t>Decided (accepted Oct 28; was proposed)</t>
        </is>
      </c>
      <c r="J64" s="32" t="n"/>
      <c r="K64" s="33" t="inlineStr">
        <is>
          <t>1-3</t>
        </is>
      </c>
    </row>
    <row r="65">
      <c r="A65" s="32" t="inlineStr">
        <is>
          <t>R062</t>
        </is>
      </c>
      <c r="B65" s="32" t="inlineStr">
        <is>
          <t>Not started</t>
        </is>
      </c>
      <c r="C65" s="32" t="inlineStr">
        <is>
          <t>Status and confidence</t>
        </is>
      </c>
      <c r="D65" s="32" t="inlineStr">
        <is>
          <t>Computed fields</t>
        </is>
      </c>
      <c r="E65" s="32" t="inlineStr">
        <is>
          <t>Always</t>
        </is>
      </c>
      <c r="F65" s="32" t="inlineStr">
        <is>
          <t>Can't be typed over except min payment (statement number) and gross/take-home; an overwrite turns status to Know it and shows a reset-to-computed icon</t>
        </is>
      </c>
      <c r="G65" s="32" t="n"/>
      <c r="H65" s="32" t="n"/>
      <c r="I65" s="32" t="inlineStr">
        <is>
          <t>Decided (accepted Oct 28; was proposed)</t>
        </is>
      </c>
      <c r="J65" s="32" t="n"/>
      <c r="K65" s="33" t="inlineStr">
        <is>
          <t>1-3</t>
        </is>
      </c>
    </row>
    <row r="66">
      <c r="A66" s="32" t="inlineStr">
        <is>
          <t>R063</t>
        </is>
      </c>
      <c r="B66" s="32" t="inlineStr">
        <is>
          <t>Not started</t>
        </is>
      </c>
      <c r="C66" s="32" t="inlineStr">
        <is>
          <t>Status and confidence</t>
        </is>
      </c>
      <c r="D66" s="32" t="inlineStr">
        <is>
          <t>Aging</t>
        </is>
      </c>
      <c r="E66" s="32" t="inlineStr">
        <is>
          <t>Roughly number older than 30 days, or any number older than 90 days</t>
        </is>
      </c>
      <c r="F66" s="32" t="inlineStr">
        <is>
          <t>Shows on revisit list and 'Due for a check' on Home</t>
        </is>
      </c>
      <c r="G66" s="32" t="n"/>
      <c r="H66" s="32" t="n"/>
      <c r="I66" s="32" t="inlineStr">
        <is>
          <t>Decided (accepted Oct 28; was proposed)</t>
        </is>
      </c>
      <c r="J66" s="32" t="n"/>
      <c r="K66" s="33" t="inlineStr">
        <is>
          <t>1-3</t>
        </is>
      </c>
    </row>
    <row r="67">
      <c r="A67" s="32" t="inlineStr">
        <is>
          <t>R064</t>
        </is>
      </c>
      <c r="B67" s="32" t="inlineStr">
        <is>
          <t>Not started</t>
        </is>
      </c>
      <c r="C67" s="32" t="inlineStr">
        <is>
          <t>Status and confidence</t>
        </is>
      </c>
      <c r="D67" s="32" t="inlineStr">
        <is>
          <t>Stress rating</t>
        </is>
      </c>
      <c r="E67" s="32" t="inlineStr">
        <is>
          <t>Debts and accounts</t>
        </is>
      </c>
      <c r="F67" s="32" t="inlineStr">
        <is>
          <t>1 to 5, blank allowed; blank is ignored by the stress payoff order</t>
        </is>
      </c>
      <c r="G67" s="32" t="n"/>
      <c r="H67" s="32" t="n"/>
      <c r="I67" s="32" t="inlineStr">
        <is>
          <t>Decided (Oct 2)</t>
        </is>
      </c>
      <c r="J67" s="32" t="n"/>
      <c r="K67" s="33" t="inlineStr">
        <is>
          <t>1-3</t>
        </is>
      </c>
    </row>
    <row r="68">
      <c r="A68" s="32" t="inlineStr">
        <is>
          <t>R065</t>
        </is>
      </c>
      <c r="B68" s="32" t="inlineStr">
        <is>
          <t>Not started</t>
        </is>
      </c>
      <c r="C68" s="32" t="inlineStr">
        <is>
          <t>Completion</t>
        </is>
      </c>
      <c r="D68" s="32" t="inlineStr">
        <is>
          <t>Section bars</t>
        </is>
      </c>
      <c r="E68" s="32" t="inlineStr">
        <is>
          <t>Always</t>
        </is>
      </c>
      <c r="F68" s="32" t="inlineStr">
        <is>
          <t>Two bars per section: core (Primary fields) and full detail (all fields that apply)</t>
        </is>
      </c>
      <c r="G68" s="32" t="n"/>
      <c r="H68" s="32" t="n"/>
      <c r="I68" s="32" t="inlineStr">
        <is>
          <t>Decided (Oct 27)</t>
        </is>
      </c>
      <c r="J68" s="32" t="n"/>
      <c r="K68" s="33" t="inlineStr">
        <is>
          <t>5</t>
        </is>
      </c>
    </row>
    <row r="69">
      <c r="A69" s="32" t="inlineStr">
        <is>
          <t>R066</t>
        </is>
      </c>
      <c r="B69" s="32" t="inlineStr">
        <is>
          <t>Not started</t>
        </is>
      </c>
      <c r="C69" s="32" t="inlineStr">
        <is>
          <t>Completion</t>
        </is>
      </c>
      <c r="D69" s="32" t="inlineStr">
        <is>
          <t>Counting</t>
        </is>
      </c>
      <c r="E69" s="32" t="inlineStr">
        <is>
          <t>Field is gated out</t>
        </is>
      </c>
      <c r="F69" s="32" t="inlineStr">
        <is>
          <t>Not counted at all</t>
        </is>
      </c>
      <c r="G69" s="32" t="n"/>
      <c r="H69" s="32" t="n"/>
      <c r="I69" s="32" t="inlineStr">
        <is>
          <t>Decided</t>
        </is>
      </c>
      <c r="J69" s="32" t="n"/>
      <c r="K69" s="33" t="inlineStr">
        <is>
          <t>5</t>
        </is>
      </c>
    </row>
    <row r="70">
      <c r="A70" s="32" t="inlineStr">
        <is>
          <t>R067</t>
        </is>
      </c>
      <c r="B70" s="32" t="inlineStr">
        <is>
          <t>Not started</t>
        </is>
      </c>
      <c r="C70" s="32" t="inlineStr">
        <is>
          <t>Completion</t>
        </is>
      </c>
      <c r="D70" s="32" t="inlineStr">
        <is>
          <t>Counting</t>
        </is>
      </c>
      <c r="E70" s="32" t="inlineStr">
        <is>
          <t>Know it, Roughly, Not for me, Computed</t>
        </is>
      </c>
      <c r="F70" s="32" t="inlineStr">
        <is>
          <t>Done</t>
        </is>
      </c>
      <c r="G70" s="32" t="inlineStr">
        <is>
          <t>Not sure counts for core only; Will email and Not now are not done</t>
        </is>
      </c>
      <c r="H70" s="32" t="n"/>
      <c r="I70" s="32" t="inlineStr">
        <is>
          <t>Decided (accepted Oct 28; was proposed)</t>
        </is>
      </c>
      <c r="J70" s="32" t="n"/>
      <c r="K70" s="33" t="inlineStr">
        <is>
          <t>5</t>
        </is>
      </c>
    </row>
    <row r="71">
      <c r="A71" s="32" t="inlineStr">
        <is>
          <t>R068</t>
        </is>
      </c>
      <c r="B71" s="32" t="inlineStr">
        <is>
          <t>Not started</t>
        </is>
      </c>
      <c r="C71" s="32" t="inlineStr">
        <is>
          <t>Completion</t>
        </is>
      </c>
      <c r="D71" s="32" t="inlineStr">
        <is>
          <t>Fast Track</t>
        </is>
      </c>
      <c r="E71" s="32" t="inlineStr">
        <is>
          <t>All Fast Track fields done</t>
        </is>
      </c>
      <c r="F71" s="32" t="inlineStr">
        <is>
          <t>Every lens turns on (net worth, savings rate, DRAFTT, FI date)</t>
        </is>
      </c>
      <c r="G71" s="32" t="n"/>
      <c r="H71" s="32" t="n"/>
      <c r="I71" s="32" t="inlineStr">
        <is>
          <t>Decided (your comment: enough to turn on every lens)</t>
        </is>
      </c>
      <c r="J71" s="32" t="n"/>
      <c r="K71" s="33" t="inlineStr">
        <is>
          <t>5</t>
        </is>
      </c>
    </row>
    <row r="72">
      <c r="A72" s="32" t="inlineStr">
        <is>
          <t>R069</t>
        </is>
      </c>
      <c r="B72" s="32" t="inlineStr">
        <is>
          <t>Not started</t>
        </is>
      </c>
      <c r="C72" s="32" t="inlineStr">
        <is>
          <t>Completion</t>
        </is>
      </c>
      <c r="D72" s="32" t="inlineStr">
        <is>
          <t>Fast Track accuracy</t>
        </is>
      </c>
      <c r="E72" s="32" t="inlineStr">
        <is>
          <t>Fast Track result vs full-detail result</t>
        </is>
      </c>
      <c r="F72" s="32" t="inlineStr">
        <is>
          <t>Target: within $100/month of the full answer. Track the gap after each full session</t>
        </is>
      </c>
      <c r="G72" s="32" t="n"/>
      <c r="H72" s="32" t="n"/>
      <c r="I72" s="32" t="inlineStr">
        <is>
          <t>Decided (your comment)</t>
        </is>
      </c>
      <c r="J72" s="32" t="n"/>
      <c r="K72" s="33" t="inlineStr">
        <is>
          <t>5</t>
        </is>
      </c>
    </row>
    <row r="73">
      <c r="A73" s="32" t="inlineStr">
        <is>
          <t>R070</t>
        </is>
      </c>
      <c r="B73" s="32" t="inlineStr">
        <is>
          <t>Not started</t>
        </is>
      </c>
      <c r="C73" s="32" t="inlineStr">
        <is>
          <t>Completion</t>
        </is>
      </c>
      <c r="D73" s="32" t="inlineStr">
        <is>
          <t>Metrics</t>
        </is>
      </c>
      <c r="E73" s="32" t="inlineStr">
        <is>
          <t>Inputs missing</t>
        </is>
      </c>
      <c r="F73" s="32" t="inlineStr">
        <is>
          <t>Metric card shows 'Locked: needs 2 numbers' and jumps to them</t>
        </is>
      </c>
      <c r="G73" s="32" t="n"/>
      <c r="H73" s="32" t="n"/>
      <c r="I73" s="32" t="inlineStr">
        <is>
          <t>Decided (metrics unlocked)</t>
        </is>
      </c>
      <c r="J73" s="32" t="n"/>
      <c r="K73" s="33" t="inlineStr">
        <is>
          <t>5</t>
        </is>
      </c>
    </row>
    <row r="74">
      <c r="A74" s="32" t="inlineStr">
        <is>
          <t>R071</t>
        </is>
      </c>
      <c r="B74" s="32" t="inlineStr">
        <is>
          <t>Not started</t>
        </is>
      </c>
      <c r="C74" s="32" t="inlineStr">
        <is>
          <t>Order and priority</t>
        </is>
      </c>
      <c r="D74" s="32" t="inlineStr">
        <is>
          <t>Next 3 numbers</t>
        </is>
      </c>
      <c r="E74" s="32" t="inlineStr">
        <is>
          <t>Always</t>
        </is>
      </c>
      <c r="F74" s="32" t="inlineStr">
        <is>
          <t>Rank empty, Not sure and Not now fields by how much they move FI date and core metrics; ignore gated-out fields</t>
        </is>
      </c>
      <c r="G74" s="32" t="n"/>
      <c r="H74" s="32" t="n"/>
      <c r="I74" s="32" t="inlineStr">
        <is>
          <t>Decided (Oct 7 dependency ranking)</t>
        </is>
      </c>
      <c r="J74" s="32" t="n"/>
      <c r="K74" s="33" t="inlineStr">
        <is>
          <t>7</t>
        </is>
      </c>
    </row>
    <row r="75">
      <c r="A75" s="32" t="inlineStr">
        <is>
          <t>R072</t>
        </is>
      </c>
      <c r="B75" s="32" t="inlineStr">
        <is>
          <t>Not started</t>
        </is>
      </c>
      <c r="C75" s="32" t="inlineStr">
        <is>
          <t>Order and priority</t>
        </is>
      </c>
      <c r="D75" s="32" t="inlineStr">
        <is>
          <t>Next 3 numbers</t>
        </is>
      </c>
      <c r="E75" s="32" t="inlineStr">
        <is>
          <t>Two fields tie</t>
        </is>
      </c>
      <c r="F75" s="32" t="inlineStr">
        <is>
          <t>Primary before Secondary, then the order the field appears on screen</t>
        </is>
      </c>
      <c r="G75" s="32" t="n"/>
      <c r="H75" s="32" t="n"/>
      <c r="I75" s="32" t="inlineStr">
        <is>
          <t>Decided (accepted Oct 28; was proposed)</t>
        </is>
      </c>
      <c r="J75" s="32" t="n"/>
      <c r="K75" s="33" t="inlineStr">
        <is>
          <t>7</t>
        </is>
      </c>
    </row>
    <row r="76">
      <c r="A76" s="32" t="inlineStr">
        <is>
          <t>R073</t>
        </is>
      </c>
      <c r="B76" s="32" t="inlineStr">
        <is>
          <t>Not started</t>
        </is>
      </c>
      <c r="C76" s="32" t="inlineStr">
        <is>
          <t>Order and priority</t>
        </is>
      </c>
      <c r="D76" s="32" t="inlineStr">
        <is>
          <t>Materiality</t>
        </is>
      </c>
      <c r="E76" s="32" t="inlineStr">
        <is>
          <t>A field's effect is under $100/year</t>
        </is>
      </c>
      <c r="F76" s="32" t="inlineStr">
        <is>
          <t>Never in Next 3; goes to the Small wins tab</t>
        </is>
      </c>
      <c r="G76" s="32" t="n"/>
      <c r="H76" s="32" t="n"/>
      <c r="I76" s="32" t="inlineStr">
        <is>
          <t>Decided (Oct 2)</t>
        </is>
      </c>
      <c r="J76" s="32" t="n"/>
      <c r="K76" s="33" t="inlineStr">
        <is>
          <t>7</t>
        </is>
      </c>
    </row>
    <row r="77">
      <c r="A77" s="32" t="inlineStr">
        <is>
          <t>R074</t>
        </is>
      </c>
      <c r="B77" s="32" t="inlineStr">
        <is>
          <t>Not started</t>
        </is>
      </c>
      <c r="C77" s="32" t="inlineStr">
        <is>
          <t>Order and priority</t>
        </is>
      </c>
      <c r="D77" s="32" t="inlineStr">
        <is>
          <t>Debt payoff order</t>
        </is>
      </c>
      <c r="E77" s="32" t="inlineStr">
        <is>
          <t>Avalanche</t>
        </is>
      </c>
      <c r="F77" s="32" t="inlineStr">
        <is>
          <t>Highest APR first</t>
        </is>
      </c>
      <c r="G77" s="32" t="inlineStr">
        <is>
          <t>Snowball: smallest balance first. Stress: highest stress first, ties by APR</t>
        </is>
      </c>
      <c r="H77" s="32" t="n"/>
      <c r="I77" s="32" t="inlineStr">
        <is>
          <t>Decided (Oct 2)</t>
        </is>
      </c>
      <c r="J77" s="32" t="n"/>
      <c r="K77" s="33" t="inlineStr">
        <is>
          <t>7</t>
        </is>
      </c>
    </row>
    <row r="78">
      <c r="A78" s="32" t="inlineStr">
        <is>
          <t>R075</t>
        </is>
      </c>
      <c r="B78" s="32" t="inlineStr">
        <is>
          <t>Not started</t>
        </is>
      </c>
      <c r="C78" s="32" t="inlineStr">
        <is>
          <t>Order and priority</t>
        </is>
      </c>
      <c r="D78" s="32" t="inlineStr">
        <is>
          <t>Promo rates</t>
        </is>
      </c>
      <c r="E78" s="32" t="inlineStr">
        <is>
          <t>0% promo ends within 60 days</t>
        </is>
      </c>
      <c r="F78" s="32" t="inlineStr">
        <is>
          <t>Card jumps to the top of payoff order and shows a warning</t>
        </is>
      </c>
      <c r="G78" s="32" t="n"/>
      <c r="H78" s="32" t="n"/>
      <c r="I78" s="32" t="inlineStr">
        <is>
          <t>Decided (accepted Oct 28; was proposed)</t>
        </is>
      </c>
      <c r="J78" s="32" t="n"/>
      <c r="K78" s="33" t="inlineStr">
        <is>
          <t>7</t>
        </is>
      </c>
    </row>
    <row r="79">
      <c r="A79" s="32" t="inlineStr">
        <is>
          <t>R076</t>
        </is>
      </c>
      <c r="B79" s="32" t="inlineStr">
        <is>
          <t>Not started</t>
        </is>
      </c>
      <c r="C79" s="32" t="inlineStr">
        <is>
          <t>Order and priority</t>
        </is>
      </c>
      <c r="D79" s="32" t="inlineStr">
        <is>
          <t>Guide me</t>
        </is>
      </c>
      <c r="E79" s="32" t="inlineStr">
        <is>
          <t>Turned on</t>
        </is>
      </c>
      <c r="F79" s="32" t="inlineStr">
        <is>
          <t>Follows the session 1 curriculum order; skips gated-out and done fields</t>
        </is>
      </c>
      <c r="G79" s="32" t="n"/>
      <c r="H79" s="32" t="n"/>
      <c r="I79" s="32" t="inlineStr">
        <is>
          <t>Decided (Oct 7)</t>
        </is>
      </c>
      <c r="J79" s="32" t="n"/>
      <c r="K79" s="33" t="inlineStr">
        <is>
          <t>7</t>
        </is>
      </c>
    </row>
    <row r="80">
      <c r="A80" s="32" t="inlineStr">
        <is>
          <t>R077</t>
        </is>
      </c>
      <c r="B80" s="32" t="inlineStr">
        <is>
          <t>Not started</t>
        </is>
      </c>
      <c r="C80" s="32" t="inlineStr">
        <is>
          <t>Visibility</t>
        </is>
      </c>
      <c r="D80" s="32" t="inlineStr">
        <is>
          <t>Client view</t>
        </is>
      </c>
      <c r="E80" s="32" t="inlineStr">
        <is>
          <t>On</t>
        </is>
      </c>
      <c r="F80" s="32" t="inlineStr">
        <is>
          <t>Hides private notes, stress ratings, coach-only fields, the gear, other clients' names; text 15% bigger</t>
        </is>
      </c>
      <c r="G80" s="32" t="n"/>
      <c r="H80" s="32" t="n"/>
      <c r="I80" s="32" t="inlineStr">
        <is>
          <t>Decided (session gaps)</t>
        </is>
      </c>
      <c r="J80" s="32" t="n"/>
      <c r="K80" s="33" t="inlineStr">
        <is>
          <t>4</t>
        </is>
      </c>
    </row>
    <row r="81">
      <c r="A81" s="32" t="inlineStr">
        <is>
          <t>R078</t>
        </is>
      </c>
      <c r="B81" s="32" t="inlineStr">
        <is>
          <t>Not started</t>
        </is>
      </c>
      <c r="C81" s="32" t="inlineStr">
        <is>
          <t>Visibility</t>
        </is>
      </c>
      <c r="D81" s="32" t="inlineStr">
        <is>
          <t>Coach tools</t>
        </is>
      </c>
      <c r="E81" s="32" t="inlineStr">
        <is>
          <t>Always</t>
        </is>
      </c>
      <c r="F81" s="32" t="inlineStr">
        <is>
          <t>Behind the gear, never on a main tab</t>
        </is>
      </c>
      <c r="G81" s="32" t="n"/>
      <c r="H81" s="32" t="n"/>
      <c r="I81" s="32" t="inlineStr">
        <is>
          <t>Decided (Oct 27)</t>
        </is>
      </c>
      <c r="J81" s="32" t="n"/>
      <c r="K81" s="33" t="inlineStr">
        <is>
          <t>4</t>
        </is>
      </c>
    </row>
    <row r="82">
      <c r="A82" s="32" t="inlineStr">
        <is>
          <t>R079</t>
        </is>
      </c>
      <c r="B82" s="32" t="inlineStr">
        <is>
          <t>Not started</t>
        </is>
      </c>
      <c r="C82" s="32" t="inlineStr">
        <is>
          <t>Visibility</t>
        </is>
      </c>
      <c r="D82" s="32" t="inlineStr">
        <is>
          <t>Private notes</t>
        </is>
      </c>
      <c r="E82" s="32" t="inlineStr">
        <is>
          <t>Always</t>
        </is>
      </c>
      <c r="F82" s="32" t="inlineStr">
        <is>
          <t>Never shown in client view, the one-pager, exports to the client or the pre-call form</t>
        </is>
      </c>
      <c r="G82" s="32" t="n"/>
      <c r="H82" s="32" t="n"/>
      <c r="I82" s="32" t="inlineStr">
        <is>
          <t>Decided (session gaps)</t>
        </is>
      </c>
      <c r="J82" s="32" t="n"/>
      <c r="K82" s="33" t="inlineStr">
        <is>
          <t>4</t>
        </is>
      </c>
    </row>
    <row r="83">
      <c r="A83" s="32" t="inlineStr">
        <is>
          <t>R080</t>
        </is>
      </c>
      <c r="B83" s="32" t="inlineStr">
        <is>
          <t>Not started</t>
        </is>
      </c>
      <c r="C83" s="32" t="inlineStr">
        <is>
          <t>Visibility</t>
        </is>
      </c>
      <c r="D83" s="32" t="inlineStr">
        <is>
          <t>Colors</t>
        </is>
      </c>
      <c r="E83" s="32" t="inlineStr">
        <is>
          <t>Any difference or warning</t>
        </is>
      </c>
      <c r="F83" s="32" t="inlineStr">
        <is>
          <t>Never red; use neutral and calm tones</t>
        </is>
      </c>
      <c r="G83" s="32" t="n"/>
      <c r="H83" s="32" t="n"/>
      <c r="I83" s="32" t="inlineStr">
        <is>
          <t>Decided (nine tiles never red)</t>
        </is>
      </c>
      <c r="J83" s="32" t="n"/>
      <c r="K83" s="33" t="inlineStr">
        <is>
          <t>4</t>
        </is>
      </c>
    </row>
    <row r="84">
      <c r="A84" s="32" t="inlineStr">
        <is>
          <t>R081</t>
        </is>
      </c>
      <c r="B84" s="32" t="inlineStr">
        <is>
          <t>Not started</t>
        </is>
      </c>
      <c r="C84" s="32" t="inlineStr">
        <is>
          <t>Visibility</t>
        </is>
      </c>
      <c r="D84" s="32" t="inlineStr">
        <is>
          <t>Pre-call form</t>
        </is>
      </c>
      <c r="E84" s="32" t="inlineStr">
        <is>
          <t>Start of the client program</t>
        </is>
      </c>
      <c r="F84" s="32" t="inlineStr">
        <is>
          <t>You fill Level 1 yourself in session 1; the client-facing link is built later with the same questions</t>
        </is>
      </c>
      <c r="G84" s="32" t="n"/>
      <c r="H84" s="32" t="n"/>
      <c r="I84" s="32" t="inlineStr">
        <is>
          <t>Decided (your comment: I'll be filling it out to start)</t>
        </is>
      </c>
      <c r="J84" s="32" t="n"/>
      <c r="K84" s="33" t="inlineStr">
        <is>
          <t>4</t>
        </is>
      </c>
    </row>
    <row r="85">
      <c r="A85" s="32" t="inlineStr">
        <is>
          <t>R082</t>
        </is>
      </c>
      <c r="B85" s="32" t="inlineStr">
        <is>
          <t>Not started</t>
        </is>
      </c>
      <c r="C85" s="32" t="inlineStr">
        <is>
          <t>Data safety</t>
        </is>
      </c>
      <c r="D85" s="32" t="inlineStr">
        <is>
          <t>Delete row</t>
        </is>
      </c>
      <c r="E85" s="32" t="inlineStr">
        <is>
          <t>Clicked</t>
        </is>
      </c>
      <c r="F85" s="32" t="inlineStr">
        <is>
          <t>Row removed, 'Undo' toast for 10 seconds</t>
        </is>
      </c>
      <c r="G85" s="32" t="n"/>
      <c r="H85" s="32" t="n"/>
      <c r="I85" s="32" t="inlineStr">
        <is>
          <t>Decided (screen review)</t>
        </is>
      </c>
      <c r="J85" s="32" t="n"/>
      <c r="K85" s="33" t="inlineStr">
        <is>
          <t>1</t>
        </is>
      </c>
    </row>
    <row r="86">
      <c r="A86" s="32" t="inlineStr">
        <is>
          <t>R083</t>
        </is>
      </c>
      <c r="B86" s="32" t="inlineStr">
        <is>
          <t>Not started</t>
        </is>
      </c>
      <c r="C86" s="32" t="inlineStr">
        <is>
          <t>Data safety</t>
        </is>
      </c>
      <c r="D86" s="32" t="inlineStr">
        <is>
          <t>Reset row</t>
        </is>
      </c>
      <c r="E86" s="32" t="inlineStr">
        <is>
          <t>Clicked</t>
        </is>
      </c>
      <c r="F86" s="32" t="inlineStr">
        <is>
          <t>All fields blank, status cleared, row kept; Undo toast</t>
        </is>
      </c>
      <c r="G86" s="32" t="n"/>
      <c r="H86" s="32" t="n"/>
      <c r="I86" s="32" t="inlineStr">
        <is>
          <t>Decided</t>
        </is>
      </c>
      <c r="J86" s="32" t="n"/>
      <c r="K86" s="33" t="inlineStr">
        <is>
          <t>1</t>
        </is>
      </c>
    </row>
    <row r="87">
      <c r="A87" s="32" t="inlineStr">
        <is>
          <t>R084</t>
        </is>
      </c>
      <c r="B87" s="32" t="inlineStr">
        <is>
          <t>Not started</t>
        </is>
      </c>
      <c r="C87" s="32" t="inlineStr">
        <is>
          <t>Data safety</t>
        </is>
      </c>
      <c r="D87" s="32" t="inlineStr">
        <is>
          <t>Reset section</t>
        </is>
      </c>
      <c r="E87" s="32" t="inlineStr">
        <is>
          <t>Clicked</t>
        </is>
      </c>
      <c r="F87" s="32" t="inlineStr">
        <is>
          <t>Confirm dialog naming the section; Undo toast</t>
        </is>
      </c>
      <c r="G87" s="32" t="n"/>
      <c r="H87" s="32" t="n"/>
      <c r="I87" s="32" t="inlineStr">
        <is>
          <t>Decided</t>
        </is>
      </c>
      <c r="J87" s="32" t="n"/>
      <c r="K87" s="33" t="inlineStr">
        <is>
          <t>1</t>
        </is>
      </c>
    </row>
    <row r="88">
      <c r="A88" s="32" t="inlineStr">
        <is>
          <t>R085</t>
        </is>
      </c>
      <c r="B88" s="32" t="inlineStr">
        <is>
          <t>Not started</t>
        </is>
      </c>
      <c r="C88" s="32" t="inlineStr">
        <is>
          <t>Data safety</t>
        </is>
      </c>
      <c r="D88" s="32" t="inlineStr">
        <is>
          <t>Reset client</t>
        </is>
      </c>
      <c r="E88" s="32" t="inlineStr">
        <is>
          <t>Clicked</t>
        </is>
      </c>
      <c r="F88" s="32" t="inlineStr">
        <is>
          <t>Must type the client's name; snapshot taken first</t>
        </is>
      </c>
      <c r="G88" s="32" t="n"/>
      <c r="H88" s="32" t="n"/>
      <c r="I88" s="32" t="inlineStr">
        <is>
          <t>Decided</t>
        </is>
      </c>
      <c r="J88" s="32" t="n"/>
      <c r="K88" s="33" t="inlineStr">
        <is>
          <t>1</t>
        </is>
      </c>
    </row>
    <row r="89">
      <c r="A89" s="32" t="inlineStr">
        <is>
          <t>R086</t>
        </is>
      </c>
      <c r="B89" s="32" t="inlineStr">
        <is>
          <t>Not started</t>
        </is>
      </c>
      <c r="C89" s="32" t="inlineStr">
        <is>
          <t>Data safety</t>
        </is>
      </c>
      <c r="D89" s="32" t="inlineStr">
        <is>
          <t>Autosave</t>
        </is>
      </c>
      <c r="E89" s="32" t="inlineStr">
        <is>
          <t>Any change</t>
        </is>
      </c>
      <c r="F89" s="32" t="inlineStr">
        <is>
          <t>Saved within 1 second; 'Unsaved' shown if it fails; warning before closing the tab</t>
        </is>
      </c>
      <c r="G89" s="32" t="n"/>
      <c r="H89" s="32" t="n"/>
      <c r="I89" s="32" t="inlineStr">
        <is>
          <t>Decided (session gaps)</t>
        </is>
      </c>
      <c r="J89" s="32" t="n"/>
      <c r="K89" s="33" t="inlineStr">
        <is>
          <t>1</t>
        </is>
      </c>
    </row>
    <row r="90">
      <c r="A90" s="32" t="inlineStr">
        <is>
          <t>R087</t>
        </is>
      </c>
      <c r="B90" s="32" t="inlineStr">
        <is>
          <t>Not started</t>
        </is>
      </c>
      <c r="C90" s="32" t="inlineStr">
        <is>
          <t>Data safety</t>
        </is>
      </c>
      <c r="D90" s="32" t="inlineStr">
        <is>
          <t>Import</t>
        </is>
      </c>
      <c r="E90" s="32" t="inlineStr">
        <is>
          <t>File imported</t>
        </is>
      </c>
      <c r="F90" s="32" t="inlineStr">
        <is>
          <t>Snapshot taken first so it can be undone</t>
        </is>
      </c>
      <c r="G90" s="32" t="n"/>
      <c r="H90" s="32" t="n"/>
      <c r="I90" s="32" t="inlineStr">
        <is>
          <t>Decided (Sept export/import)</t>
        </is>
      </c>
      <c r="J90" s="32" t="n"/>
      <c r="K90" s="33" t="inlineStr">
        <is>
          <t>1</t>
        </is>
      </c>
    </row>
    <row r="91">
      <c r="A91" s="32" t="inlineStr">
        <is>
          <t>R088</t>
        </is>
      </c>
      <c r="B91" s="32" t="inlineStr">
        <is>
          <t>Not started</t>
        </is>
      </c>
      <c r="C91" s="32" t="inlineStr">
        <is>
          <t>Data safety</t>
        </is>
      </c>
      <c r="D91" s="32" t="inlineStr">
        <is>
          <t>Undo / redo</t>
        </is>
      </c>
      <c r="E91" s="32" t="inlineStr">
        <is>
          <t>Always</t>
        </is>
      </c>
      <c r="F91" s="32" t="inlineStr">
        <is>
          <t>Covers every change on every screen, including deletes and resets</t>
        </is>
      </c>
      <c r="G91" s="32" t="n"/>
      <c r="H91" s="32" t="n"/>
      <c r="I91" s="32" t="inlineStr">
        <is>
          <t>Decided (Sept)</t>
        </is>
      </c>
      <c r="J91" s="32" t="n"/>
      <c r="K91" s="33" t="inlineStr">
        <is>
          <t>1</t>
        </is>
      </c>
    </row>
    <row r="92">
      <c r="A92" s="32" t="inlineStr">
        <is>
          <t>R089</t>
        </is>
      </c>
      <c r="B92" s="32" t="inlineStr">
        <is>
          <t>Not started</t>
        </is>
      </c>
      <c r="C92" s="32" t="inlineStr">
        <is>
          <t>Data safety</t>
        </is>
      </c>
      <c r="D92" s="32" t="inlineStr">
        <is>
          <t>Linked records</t>
        </is>
      </c>
      <c r="E92" s="32" t="inlineStr">
        <is>
          <t>A debt linked to an asset is deleted</t>
        </is>
      </c>
      <c r="F92" s="32" t="inlineStr">
        <is>
          <t>Ask: delete the loan only, or the asset too</t>
        </is>
      </c>
      <c r="G92" s="32" t="n"/>
      <c r="H92" s="32" t="n"/>
      <c r="I92" s="32" t="inlineStr">
        <is>
          <t>Decided (accepted Oct 28; was proposed)</t>
        </is>
      </c>
      <c r="J92" s="32" t="n"/>
      <c r="K92" s="33" t="inlineStr">
        <is>
          <t>1</t>
        </is>
      </c>
    </row>
    <row r="93">
      <c r="A93" s="32" t="inlineStr">
        <is>
          <t>R090</t>
        </is>
      </c>
      <c r="B93" s="32" t="inlineStr">
        <is>
          <t>Not started</t>
        </is>
      </c>
      <c r="C93" s="32" t="inlineStr">
        <is>
          <t>Calendar</t>
        </is>
      </c>
      <c r="D93" s="32" t="inlineStr">
        <is>
          <t>Maybe entries</t>
        </is>
      </c>
      <c r="E93" s="32" t="inlineStr">
        <is>
          <t>Always</t>
        </is>
      </c>
      <c r="F93" s="32" t="inlineStr">
        <is>
          <t>Dashed chip; left out of the running balance unless 'Count maybe' is on</t>
        </is>
      </c>
      <c r="G93" s="32" t="n"/>
      <c r="H93" s="32" t="n"/>
      <c r="I93" s="32" t="inlineStr">
        <is>
          <t>Decided (your comment)</t>
        </is>
      </c>
      <c r="J93" s="32" t="n"/>
      <c r="K93" s="33" t="inlineStr">
        <is>
          <t>6</t>
        </is>
      </c>
    </row>
    <row r="94">
      <c r="A94" s="32" t="inlineStr">
        <is>
          <t>R091</t>
        </is>
      </c>
      <c r="B94" s="32" t="inlineStr">
        <is>
          <t>Not started</t>
        </is>
      </c>
      <c r="C94" s="32" t="inlineStr">
        <is>
          <t>Calendar</t>
        </is>
      </c>
      <c r="D94" s="32" t="inlineStr">
        <is>
          <t>Got it / Paid</t>
        </is>
      </c>
      <c r="E94" s="32" t="inlineStr">
        <is>
          <t>Clicked</t>
        </is>
      </c>
      <c r="F94" s="32" t="inlineStr">
        <is>
          <t>Planned or maybe becomes actual on the real date and amount</t>
        </is>
      </c>
      <c r="G94" s="32" t="n"/>
      <c r="H94" s="32" t="n"/>
      <c r="I94" s="32" t="inlineStr">
        <is>
          <t>Decided (your comment)</t>
        </is>
      </c>
      <c r="J94" s="32" t="n"/>
      <c r="K94" s="33" t="inlineStr">
        <is>
          <t>6</t>
        </is>
      </c>
    </row>
    <row r="95">
      <c r="A95" s="32" t="inlineStr">
        <is>
          <t>R092</t>
        </is>
      </c>
      <c r="B95" s="32" t="inlineStr">
        <is>
          <t>Not started</t>
        </is>
      </c>
      <c r="C95" s="32" t="inlineStr">
        <is>
          <t>Calendar</t>
        </is>
      </c>
      <c r="D95" s="32" t="inlineStr">
        <is>
          <t>Entry status</t>
        </is>
      </c>
      <c r="E95" s="32" t="inlineStr">
        <is>
          <t>Always</t>
        </is>
      </c>
      <c r="F95" s="32" t="inlineStr">
        <is>
          <t>Each calendar entry is Planned, Partial, Got it / Paid, Didn't happen, or Moved</t>
        </is>
      </c>
      <c r="G95" s="32" t="n"/>
      <c r="H95" s="32" t="n"/>
      <c r="I95" s="32" t="inlineStr">
        <is>
          <t>Decided (your comment on R048)</t>
        </is>
      </c>
      <c r="J95" s="32" t="n"/>
      <c r="K95" s="33" t="inlineStr">
        <is>
          <t>6</t>
        </is>
      </c>
    </row>
    <row r="96">
      <c r="A96" s="32" t="inlineStr">
        <is>
          <t>R093</t>
        </is>
      </c>
      <c r="B96" s="32" t="inlineStr">
        <is>
          <t>Not started</t>
        </is>
      </c>
      <c r="C96" s="32" t="inlineStr">
        <is>
          <t>Calendar</t>
        </is>
      </c>
      <c r="D96" s="32" t="inlineStr">
        <is>
          <t>Partial</t>
        </is>
      </c>
      <c r="E96" s="32" t="inlineStr">
        <is>
          <t>Some of the money came or was paid</t>
        </is>
      </c>
      <c r="F96" s="32" t="inlineStr">
        <is>
          <t>Enter the amount so far; the rest stays Planned on the same entry. Update it later instead of starting over</t>
        </is>
      </c>
      <c r="G96" s="32" t="n"/>
      <c r="H96" s="32" t="n"/>
      <c r="I96" s="32" t="inlineStr">
        <is>
          <t>Decided (your comment on R048)</t>
        </is>
      </c>
      <c r="J96" s="32" t="n"/>
      <c r="K96" s="33" t="inlineStr">
        <is>
          <t>6</t>
        </is>
      </c>
    </row>
    <row r="97">
      <c r="A97" s="32" t="inlineStr">
        <is>
          <t>R094</t>
        </is>
      </c>
      <c r="B97" s="32" t="inlineStr">
        <is>
          <t>Not started</t>
        </is>
      </c>
      <c r="C97" s="32" t="inlineStr">
        <is>
          <t>Calendar</t>
        </is>
      </c>
      <c r="D97" s="32" t="inlineStr">
        <is>
          <t>Didn't happen</t>
        </is>
      </c>
      <c r="E97" s="32" t="inlineStr">
        <is>
          <t>Clicked</t>
        </is>
      </c>
      <c r="F97" s="32" t="inlineStr">
        <is>
          <t>Entry kept, greyed, counted as $0 actual so the miss shows in month-end close</t>
        </is>
      </c>
      <c r="G97" s="32" t="inlineStr">
        <is>
          <t>Moved: pick a new date, original date keeps a faint marker</t>
        </is>
      </c>
      <c r="H97" s="32" t="n"/>
      <c r="I97" s="32" t="inlineStr">
        <is>
          <t>Decided (accepted Oct 28; was proposed)</t>
        </is>
      </c>
      <c r="J97" s="32" t="n"/>
      <c r="K97" s="33" t="inlineStr">
        <is>
          <t>6</t>
        </is>
      </c>
    </row>
    <row r="98">
      <c r="A98" s="32" t="inlineStr">
        <is>
          <t>R095</t>
        </is>
      </c>
      <c r="B98" s="32" t="inlineStr">
        <is>
          <t>Not started</t>
        </is>
      </c>
      <c r="C98" s="32" t="inlineStr">
        <is>
          <t>Calendar</t>
        </is>
      </c>
      <c r="D98" s="32" t="inlineStr">
        <is>
          <t>Wins</t>
        </is>
      </c>
      <c r="E98" s="32" t="inlineStr">
        <is>
          <t>A payoff date, milestone or FI step is reached in the projection</t>
        </is>
      </c>
      <c r="F98" s="32" t="inlineStr">
        <is>
          <t>Win chip appears on that date automatically</t>
        </is>
      </c>
      <c r="G98" s="32" t="n"/>
      <c r="H98" s="32" t="n"/>
      <c r="I98" s="32" t="inlineStr">
        <is>
          <t>Decided (your comment)</t>
        </is>
      </c>
      <c r="J98" s="32" t="n"/>
      <c r="K98" s="33" t="inlineStr">
        <is>
          <t>6</t>
        </is>
      </c>
    </row>
    <row r="99">
      <c r="A99" s="32" t="inlineStr">
        <is>
          <t>R096</t>
        </is>
      </c>
      <c r="B99" s="32" t="inlineStr">
        <is>
          <t>Not started</t>
        </is>
      </c>
      <c r="C99" s="32" t="inlineStr">
        <is>
          <t>Calendar</t>
        </is>
      </c>
      <c r="D99" s="32" t="inlineStr">
        <is>
          <t>Low balance</t>
        </is>
      </c>
      <c r="E99" s="32" t="inlineStr">
        <is>
          <t>End-of-day balance below the line</t>
        </is>
      </c>
      <c r="F99" s="32" t="inlineStr">
        <is>
          <t>Day shows ⚠ and Home shows the first such day</t>
        </is>
      </c>
      <c r="G99" s="32" t="n"/>
      <c r="H99" s="32" t="n"/>
      <c r="I99" s="32" t="inlineStr">
        <is>
          <t>Decided (accepted Oct 28; was proposed)</t>
        </is>
      </c>
      <c r="J99" s="32" t="n"/>
      <c r="K99" s="33" t="inlineStr">
        <is>
          <t>6</t>
        </is>
      </c>
    </row>
    <row r="100">
      <c r="A100" s="32" t="inlineStr">
        <is>
          <t>R097</t>
        </is>
      </c>
      <c r="B100" s="32" t="inlineStr">
        <is>
          <t>Not started</t>
        </is>
      </c>
      <c r="C100" s="32" t="inlineStr">
        <is>
          <t>Calendar</t>
        </is>
      </c>
      <c r="D100" s="32" t="inlineStr">
        <is>
          <t>Repeats</t>
        </is>
      </c>
      <c r="E100" s="32" t="inlineStr">
        <is>
          <t>Twice a month</t>
        </is>
      </c>
      <c r="F100" s="32" t="inlineStr">
        <is>
          <t>1st and 15th unless days are set</t>
        </is>
      </c>
      <c r="G100" s="32" t="n"/>
      <c r="H100" s="32" t="n"/>
      <c r="I100" s="32" t="inlineStr">
        <is>
          <t>Decided (accepted Oct 28; was proposed)</t>
        </is>
      </c>
      <c r="J100" s="32" t="n"/>
      <c r="K100" s="33" t="inlineStr">
        <is>
          <t>6</t>
        </is>
      </c>
    </row>
    <row r="101">
      <c r="A101" s="32" t="inlineStr">
        <is>
          <t>R098</t>
        </is>
      </c>
      <c r="B101" s="32" t="inlineStr">
        <is>
          <t>Not started</t>
        </is>
      </c>
      <c r="C101" s="32" t="inlineStr">
        <is>
          <t>Calendar</t>
        </is>
      </c>
      <c r="D101" s="32" t="inlineStr">
        <is>
          <t>Paychecks</t>
        </is>
      </c>
      <c r="E101" s="32" t="inlineStr">
        <is>
          <t>Every-2-weeks pay lands 3 times in a month</t>
        </is>
      </c>
      <c r="F101" s="32" t="inlineStr">
        <is>
          <t>Month marked 'bonus paycheck month'</t>
        </is>
      </c>
      <c r="G101" s="32" t="n"/>
      <c r="H101" s="32" t="n"/>
      <c r="I101" s="32" t="inlineStr">
        <is>
          <t>Decided (Oct 22)</t>
        </is>
      </c>
      <c r="J101" s="32" t="n"/>
      <c r="K101" s="33" t="inlineStr">
        <is>
          <t>6</t>
        </is>
      </c>
    </row>
    <row r="102">
      <c r="A102" s="32" t="inlineStr">
        <is>
          <t>R099</t>
        </is>
      </c>
      <c r="B102" s="32" t="inlineStr">
        <is>
          <t>Not started</t>
        </is>
      </c>
      <c r="C102" s="32" t="inlineStr">
        <is>
          <t>Paid with (bill to card)</t>
        </is>
      </c>
      <c r="D102" s="32" t="inlineStr">
        <is>
          <t>Needs lines, calendar entries, irregular costs</t>
        </is>
      </c>
      <c r="E102" s="32" t="inlineStr">
        <is>
          <t>Always</t>
        </is>
      </c>
      <c r="F102" s="32" t="inlineStr">
        <is>
          <t>Every bill can carry 'Paid with ▾': checking, savings, or any credit card on file. Tertiary by default</t>
        </is>
      </c>
      <c r="G102" s="32" t="n"/>
      <c r="H102" s="32" t="n"/>
      <c r="I102" s="32" t="inlineStr">
        <is>
          <t>Decided (your message: link a bill to a credit card, tertiary)</t>
        </is>
      </c>
      <c r="J102" s="32" t="n"/>
      <c r="K102" s="33" t="inlineStr">
        <is>
          <t>6</t>
        </is>
      </c>
    </row>
    <row r="103">
      <c r="A103" s="32" t="inlineStr">
        <is>
          <t>R100</t>
        </is>
      </c>
      <c r="B103" s="32" t="inlineStr">
        <is>
          <t>Not started</t>
        </is>
      </c>
      <c r="C103" s="32" t="inlineStr">
        <is>
          <t>Paid with (bill to card)</t>
        </is>
      </c>
      <c r="D103" s="32" t="inlineStr">
        <is>
          <t>Where it lives</t>
        </is>
      </c>
      <c r="E103" s="32" t="inlineStr">
        <is>
          <t>Always</t>
        </is>
      </c>
      <c r="F103" s="32" t="inlineStr">
        <is>
          <t>Paid with sits at the top of the row's More ▸ area, so it's 3 clicks from any bill</t>
        </is>
      </c>
      <c r="G103" s="32" t="n"/>
      <c r="H103" s="32" t="n"/>
      <c r="I103" s="32" t="inlineStr">
        <is>
          <t>Decided (Oct 28)</t>
        </is>
      </c>
      <c r="J103" s="32" t="n"/>
      <c r="K103" s="33" t="inlineStr">
        <is>
          <t>6</t>
        </is>
      </c>
    </row>
    <row r="104">
      <c r="A104" s="32" t="inlineStr">
        <is>
          <t>R101</t>
        </is>
      </c>
      <c r="B104" s="32" t="inlineStr">
        <is>
          <t>Not started</t>
        </is>
      </c>
      <c r="C104" s="32" t="inlineStr">
        <is>
          <t>Paid with (bill to card)</t>
        </is>
      </c>
      <c r="D104" s="32" t="inlineStr">
        <is>
          <t>Paid with = a credit card</t>
        </is>
      </c>
      <c r="E104" s="32" t="inlineStr">
        <is>
          <t>Bill linked</t>
        </is>
      </c>
      <c r="F104" s="32" t="inlineStr">
        <is>
          <t>The charge adds to that card's expected balance on its date; the calendar shows it on the card, not on checking; the card's payment day pulls the total</t>
        </is>
      </c>
      <c r="G104" s="32" t="n"/>
      <c r="H104" s="32" t="n"/>
      <c r="I104" s="32" t="inlineStr">
        <is>
          <t>Decided (accepted Oct 28; was proposed)</t>
        </is>
      </c>
      <c r="J104" s="32" t="n"/>
      <c r="K104" s="33" t="inlineStr">
        <is>
          <t>6</t>
        </is>
      </c>
    </row>
    <row r="105">
      <c r="A105" s="32" t="inlineStr">
        <is>
          <t>R102</t>
        </is>
      </c>
      <c r="B105" s="32" t="inlineStr">
        <is>
          <t>Not started</t>
        </is>
      </c>
      <c r="C105" s="32" t="inlineStr">
        <is>
          <t>Paid with (bill to card)</t>
        </is>
      </c>
      <c r="D105" s="32" t="inlineStr">
        <is>
          <t>Promote to Secondary</t>
        </is>
      </c>
      <c r="E105" s="32" t="inlineStr">
        <is>
          <t>Client says most spending goes on cards (Profile toggle)</t>
        </is>
      </c>
      <c r="F105" s="32" t="inlineStr">
        <is>
          <t>'Paid with' moves up to Secondary on every line</t>
        </is>
      </c>
      <c r="G105" s="32" t="inlineStr">
        <is>
          <t>Stays Tertiary</t>
        </is>
      </c>
      <c r="H105" s="32" t="n"/>
      <c r="I105" s="32" t="inlineStr">
        <is>
          <t>Decided (accepted Oct 28; was proposed)</t>
        </is>
      </c>
      <c r="J105" s="32" t="n"/>
      <c r="K105" s="33" t="inlineStr">
        <is>
          <t>6</t>
        </is>
      </c>
    </row>
    <row r="106">
      <c r="A106" s="32" t="inlineStr">
        <is>
          <t>R103</t>
        </is>
      </c>
      <c r="B106" s="32" t="inlineStr">
        <is>
          <t>Not started</t>
        </is>
      </c>
      <c r="C106" s="32" t="inlineStr">
        <is>
          <t>Paid with (bill to card)</t>
        </is>
      </c>
      <c r="D106" s="32" t="inlineStr">
        <is>
          <t>Card row</t>
        </is>
      </c>
      <c r="E106" s="32" t="inlineStr">
        <is>
          <t>Bills are linked to the card</t>
        </is>
      </c>
      <c r="F106" s="32" t="inlineStr">
        <is>
          <t>Card's Secondary shows 'Bills on this card: 6, $412/mo' with a list</t>
        </is>
      </c>
      <c r="G106" s="32" t="n"/>
      <c r="H106" s="32" t="n"/>
      <c r="I106" s="32" t="inlineStr">
        <is>
          <t>Decided (accepted Oct 28; was proposed)</t>
        </is>
      </c>
      <c r="J106" s="32" t="n"/>
      <c r="K106" s="33" t="inlineStr">
        <is>
          <t>6</t>
        </is>
      </c>
    </row>
    <row r="107">
      <c r="A107" s="32" t="inlineStr">
        <is>
          <t>R104</t>
        </is>
      </c>
      <c r="B107" s="32" t="inlineStr">
        <is>
          <t>Not started</t>
        </is>
      </c>
      <c r="C107" s="32" t="inlineStr">
        <is>
          <t>Paid with (bill to card)</t>
        </is>
      </c>
      <c r="D107" s="32" t="inlineStr">
        <is>
          <t>Card paid in full monthly</t>
        </is>
      </c>
      <c r="E107" s="32" t="inlineStr">
        <is>
          <t>Pay = In full</t>
        </is>
      </c>
      <c r="F107" s="32" t="inlineStr">
        <is>
          <t>Linked bills count as spending, not debt; no interest</t>
        </is>
      </c>
      <c r="G107" s="32" t="inlineStr">
        <is>
          <t>Carrying a balance: linked bills add to the payoff projection</t>
        </is>
      </c>
      <c r="H107" s="32" t="n"/>
      <c r="I107" s="32" t="inlineStr">
        <is>
          <t>Decided (accepted Oct 28; was proposed)</t>
        </is>
      </c>
      <c r="J107" s="32" t="n"/>
      <c r="K107" s="33" t="inlineStr">
        <is>
          <t>6</t>
        </is>
      </c>
    </row>
    <row r="108">
      <c r="A108" s="32" t="inlineStr">
        <is>
          <t>R105</t>
        </is>
      </c>
      <c r="B108" s="32" t="inlineStr">
        <is>
          <t>Not started</t>
        </is>
      </c>
      <c r="C108" s="32" t="inlineStr">
        <is>
          <t>Staples (same everywhere)</t>
        </is>
      </c>
      <c r="D108" s="32" t="inlineStr">
        <is>
          <t>Every section</t>
        </is>
      </c>
      <c r="E108" s="32" t="inlineStr">
        <is>
          <t>Always</t>
        </is>
      </c>
      <c r="F108" s="32" t="inlineStr">
        <is>
          <t>One '+ Add [thing]' button in the same spot (bottom left of the section), same look</t>
        </is>
      </c>
      <c r="G108" s="32" t="n"/>
      <c r="H108" s="32" t="n"/>
      <c r="I108" s="32" t="inlineStr">
        <is>
          <t>Decided (your message: uniform staples)</t>
        </is>
      </c>
      <c r="J108" s="32" t="n"/>
      <c r="K108" s="33" t="inlineStr">
        <is>
          <t>3</t>
        </is>
      </c>
    </row>
    <row r="109">
      <c r="A109" s="32" t="inlineStr">
        <is>
          <t>R106</t>
        </is>
      </c>
      <c r="B109" s="32" t="inlineStr">
        <is>
          <t>Not started</t>
        </is>
      </c>
      <c r="C109" s="32" t="inlineStr">
        <is>
          <t>Staples (same everywhere)</t>
        </is>
      </c>
      <c r="D109" s="32" t="inlineStr">
        <is>
          <t>Every add picker</t>
        </is>
      </c>
      <c r="E109" s="32" t="inlineStr">
        <is>
          <t>Clicked</t>
        </is>
      </c>
      <c r="F109" s="32" t="inlineStr">
        <is>
          <t>Top 4 types as big buttons, Other opens the rest with search, 'Name your own' at the end</t>
        </is>
      </c>
      <c r="G109" s="32" t="n"/>
      <c r="H109" s="32" t="n"/>
      <c r="I109" s="32" t="inlineStr">
        <is>
          <t>Decided (your Mockup comment, made universal)</t>
        </is>
      </c>
      <c r="J109" s="32" t="n"/>
      <c r="K109" s="33" t="inlineStr">
        <is>
          <t>3</t>
        </is>
      </c>
    </row>
    <row r="110">
      <c r="A110" s="32" t="inlineStr">
        <is>
          <t>R107</t>
        </is>
      </c>
      <c r="B110" s="32" t="inlineStr">
        <is>
          <t>Not started</t>
        </is>
      </c>
      <c r="C110" s="32" t="inlineStr">
        <is>
          <t>Staples (same everywhere)</t>
        </is>
      </c>
      <c r="D110" s="32" t="inlineStr">
        <is>
          <t>Every row</t>
        </is>
      </c>
      <c r="E110" s="32" t="inlineStr">
        <is>
          <t>Always</t>
        </is>
      </c>
      <c r="F110" s="32" t="inlineStr">
        <is>
          <t>Same anatomy left to right: type/name, amount, per, owner (couples), status, ⧉ ↺ 🗑, ▸ More</t>
        </is>
      </c>
      <c r="G110" s="32" t="n"/>
      <c r="H110" s="32" t="n"/>
      <c r="I110" s="32" t="inlineStr">
        <is>
          <t>Decided</t>
        </is>
      </c>
      <c r="J110" s="32" t="n"/>
      <c r="K110" s="33" t="inlineStr">
        <is>
          <t>3</t>
        </is>
      </c>
    </row>
    <row r="111">
      <c r="A111" s="32" t="inlineStr">
        <is>
          <t>R108</t>
        </is>
      </c>
      <c r="B111" s="32" t="inlineStr">
        <is>
          <t>Not started</t>
        </is>
      </c>
      <c r="C111" s="32" t="inlineStr">
        <is>
          <t>Staples (same everywhere)</t>
        </is>
      </c>
      <c r="D111" s="32" t="inlineStr">
        <is>
          <t>Quick add</t>
        </is>
      </c>
      <c r="E111" s="32" t="inlineStr">
        <is>
          <t>Top bar</t>
        </is>
      </c>
      <c r="F111" s="32" t="inlineStr">
        <is>
          <t>'+ Add anything' box: type 'Netflix 15.99 monthly' or 'Chase card 3200 at 24%' and it picks the type and section; you confirm</t>
        </is>
      </c>
      <c r="G111" s="32" t="n"/>
      <c r="H111" s="32" t="n"/>
      <c r="I111" s="32" t="inlineStr">
        <is>
          <t>Decided (accepted Oct 28; was proposed)</t>
        </is>
      </c>
      <c r="J111" s="32" t="n"/>
      <c r="K111" s="33" t="inlineStr">
        <is>
          <t>3</t>
        </is>
      </c>
    </row>
    <row r="112">
      <c r="A112" s="32" t="inlineStr">
        <is>
          <t>R109</t>
        </is>
      </c>
      <c r="B112" s="32" t="inlineStr">
        <is>
          <t>Not started</t>
        </is>
      </c>
      <c r="C112" s="32" t="inlineStr">
        <is>
          <t>Staples (same everywhere)</t>
        </is>
      </c>
      <c r="D112" s="32" t="inlineStr">
        <is>
          <t>Add from anywhere</t>
        </is>
      </c>
      <c r="E112" s="32" t="inlineStr">
        <is>
          <t>Adding from Home, calendar or a chart</t>
        </is>
      </c>
      <c r="F112" s="32" t="inlineStr">
        <is>
          <t>Opens the same add picker and drops the row in its home section; no screen switch</t>
        </is>
      </c>
      <c r="G112" s="32" t="n"/>
      <c r="H112" s="32" t="n"/>
      <c r="I112" s="32" t="inlineStr">
        <is>
          <t>Decided (accepted Oct 28; was proposed)</t>
        </is>
      </c>
      <c r="J112" s="32" t="n"/>
      <c r="K112" s="33" t="inlineStr">
        <is>
          <t>3</t>
        </is>
      </c>
    </row>
    <row r="113">
      <c r="A113" s="32" t="inlineStr">
        <is>
          <t>R110</t>
        </is>
      </c>
      <c r="B113" s="32" t="inlineStr">
        <is>
          <t>Not started</t>
        </is>
      </c>
      <c r="C113" s="32" t="inlineStr">
        <is>
          <t>Staples (same everywhere)</t>
        </is>
      </c>
      <c r="D113" s="32" t="inlineStr">
        <is>
          <t>Every section footer</t>
        </is>
      </c>
      <c r="E113" s="32" t="inlineStr">
        <is>
          <t>Always</t>
        </is>
      </c>
      <c r="F113" s="32" t="inlineStr">
        <is>
          <t>Total, count, completion bar in the same spot</t>
        </is>
      </c>
      <c r="G113" s="32" t="n"/>
      <c r="H113" s="32" t="n"/>
      <c r="I113" s="32" t="inlineStr">
        <is>
          <t>Decided (accepted Oct 28; was proposed)</t>
        </is>
      </c>
      <c r="J113" s="32" t="n"/>
      <c r="K113" s="33" t="inlineStr">
        <is>
          <t>3</t>
        </is>
      </c>
    </row>
    <row r="114">
      <c r="A114" s="32" t="inlineStr">
        <is>
          <t>R111</t>
        </is>
      </c>
      <c r="B114" s="32" t="inlineStr">
        <is>
          <t>Not started</t>
        </is>
      </c>
      <c r="C114" s="32" t="inlineStr">
        <is>
          <t>Bulk select</t>
        </is>
      </c>
      <c r="D114" s="32" t="inlineStr">
        <is>
          <t>Every multi-item list</t>
        </is>
      </c>
      <c r="E114" s="32" t="inlineStr">
        <is>
          <t>Always</t>
        </is>
      </c>
      <c r="F114" s="32" t="inlineStr">
        <is>
          <t>Each row has a checkbox on the far left; the list header has 'Select all'</t>
        </is>
      </c>
      <c r="G114" s="32" t="n"/>
      <c r="H114" s="32" t="n"/>
      <c r="I114" s="32" t="inlineStr">
        <is>
          <t>Decided (your message: multi-select like bills)</t>
        </is>
      </c>
      <c r="J114" s="32" t="n"/>
      <c r="K114" s="33" t="inlineStr">
        <is>
          <t>3</t>
        </is>
      </c>
    </row>
    <row r="115">
      <c r="A115" s="32" t="inlineStr">
        <is>
          <t>R112</t>
        </is>
      </c>
      <c r="B115" s="32" t="inlineStr">
        <is>
          <t>Not started</t>
        </is>
      </c>
      <c r="C115" s="32" t="inlineStr">
        <is>
          <t>Bulk select</t>
        </is>
      </c>
      <c r="D115" s="32" t="inlineStr">
        <is>
          <t>One or more rows checked</t>
        </is>
      </c>
      <c r="E115" s="32" t="inlineStr">
        <is>
          <t>Always</t>
        </is>
      </c>
      <c r="F115" s="32" t="inlineStr">
        <is>
          <t>A slim bar appears at the top of the list: Duplicate, Delete, Reset, Set status, Link to card, Clear selection</t>
        </is>
      </c>
      <c r="G115" s="32" t="inlineStr">
        <is>
          <t>Bar disappears when nothing is checked</t>
        </is>
      </c>
      <c r="H115" s="32" t="n"/>
      <c r="I115" s="32" t="inlineStr">
        <is>
          <t>Decided</t>
        </is>
      </c>
      <c r="J115" s="32" t="n"/>
      <c r="K115" s="33" t="inlineStr">
        <is>
          <t>3</t>
        </is>
      </c>
    </row>
    <row r="116">
      <c r="A116" s="32" t="inlineStr">
        <is>
          <t>R113</t>
        </is>
      </c>
      <c r="B116" s="32" t="inlineStr">
        <is>
          <t>Not started</t>
        </is>
      </c>
      <c r="C116" s="32" t="inlineStr">
        <is>
          <t>Bulk select</t>
        </is>
      </c>
      <c r="D116" s="32" t="inlineStr">
        <is>
          <t>Bulk delete or reset</t>
        </is>
      </c>
      <c r="E116" s="32" t="inlineStr">
        <is>
          <t>Clicked</t>
        </is>
      </c>
      <c r="F116" s="32" t="inlineStr">
        <is>
          <t>One undo toast covers all of them ('Deleted 5. Undo')</t>
        </is>
      </c>
      <c r="G116" s="32" t="n"/>
      <c r="H116" s="32" t="n"/>
      <c r="I116" s="32" t="inlineStr">
        <is>
          <t>Decided</t>
        </is>
      </c>
      <c r="J116" s="32" t="n"/>
      <c r="K116" s="33" t="inlineStr">
        <is>
          <t>3</t>
        </is>
      </c>
    </row>
    <row r="117">
      <c r="A117" s="32" t="inlineStr">
        <is>
          <t>R114</t>
        </is>
      </c>
      <c r="B117" s="32" t="inlineStr">
        <is>
          <t>Not started</t>
        </is>
      </c>
      <c r="C117" s="32" t="inlineStr">
        <is>
          <t>Bulk select</t>
        </is>
      </c>
      <c r="D117" s="32" t="inlineStr">
        <is>
          <t>Link to card (bulk or row)</t>
        </is>
      </c>
      <c r="E117" s="32" t="inlineStr">
        <is>
          <t>Clicked</t>
        </is>
      </c>
      <c r="F117" s="32" t="inlineStr">
        <is>
          <t>Shows the client's cards as buttons if there are 4 or fewer; a picker with search if more. One click links every selected bill</t>
        </is>
      </c>
      <c r="G117" s="32" t="n"/>
      <c r="H117" s="32" t="n"/>
      <c r="I117" s="32" t="inlineStr">
        <is>
          <t>Decided (your message: easier with a couple of cards)</t>
        </is>
      </c>
      <c r="J117" s="32" t="n"/>
      <c r="K117" s="33" t="inlineStr">
        <is>
          <t>3</t>
        </is>
      </c>
    </row>
    <row r="118">
      <c r="A118" s="32" t="inlineStr">
        <is>
          <t>R115</t>
        </is>
      </c>
      <c r="B118" s="32" t="inlineStr">
        <is>
          <t>Not started</t>
        </is>
      </c>
      <c r="C118" s="32" t="inlineStr">
        <is>
          <t>Bulk select</t>
        </is>
      </c>
      <c r="D118" s="32" t="inlineStr">
        <is>
          <t>Link to card (single row)</t>
        </is>
      </c>
      <c r="E118" s="32" t="inlineStr">
        <is>
          <t>More ▸ on the row</t>
        </is>
      </c>
      <c r="F118" s="32" t="inlineStr">
        <is>
          <t>Paid with shows the card buttons, so it's 3 clicks: More ▸ › Paid with › card name</t>
        </is>
      </c>
      <c r="G118" s="32" t="n"/>
      <c r="H118" s="32" t="n"/>
      <c r="I118" s="32" t="inlineStr">
        <is>
          <t>Decided (your message: about three links away; no ⋯ menu)</t>
        </is>
      </c>
      <c r="J118" s="32" t="n"/>
      <c r="K118" s="33" t="inlineStr">
        <is>
          <t>3</t>
        </is>
      </c>
    </row>
    <row r="119">
      <c r="A119" s="32" t="inlineStr">
        <is>
          <t>R116</t>
        </is>
      </c>
      <c r="B119" s="32" t="inlineStr">
        <is>
          <t>Not started</t>
        </is>
      </c>
      <c r="C119" s="32" t="inlineStr">
        <is>
          <t>Bulk select</t>
        </is>
      </c>
      <c r="D119" s="32" t="inlineStr">
        <is>
          <t>Set status (bulk)</t>
        </is>
      </c>
      <c r="E119" s="32" t="inlineStr">
        <is>
          <t>Clicked</t>
        </is>
      </c>
      <c r="F119" s="32" t="inlineStr">
        <is>
          <t>Applies one status (Roughly, Will email, etc.) to every selected row</t>
        </is>
      </c>
      <c r="G119" s="32" t="n"/>
      <c r="H119" s="32" t="n"/>
      <c r="I119" s="32" t="inlineStr">
        <is>
          <t>Decided (accepted Oct 28; was proposed)</t>
        </is>
      </c>
      <c r="J119" s="32" t="n"/>
      <c r="K119" s="33" t="inlineStr">
        <is>
          <t>3</t>
        </is>
      </c>
    </row>
    <row r="120">
      <c r="A120" s="32" t="inlineStr">
        <is>
          <t>R117</t>
        </is>
      </c>
      <c r="B120" s="32" t="inlineStr">
        <is>
          <t>Not started</t>
        </is>
      </c>
      <c r="C120" s="32" t="inlineStr">
        <is>
          <t>Data and timing</t>
        </is>
      </c>
      <c r="D120" s="32" t="inlineStr">
        <is>
          <t>Every record</t>
        </is>
      </c>
      <c r="E120" s="32" t="inlineStr">
        <is>
          <t>Always</t>
        </is>
      </c>
      <c r="F120" s="32" t="inlineStr">
        <is>
          <t>One record type for bills, paychecks, debt payments, yearly costs: name, amount, how often, owner, status, paid with, linked to, source, covers period. Budget, calendar, card row and Needs are views of these records</t>
        </is>
      </c>
      <c r="G120" s="32" t="n"/>
      <c r="H120" s="32" t="n"/>
      <c r="I120" s="32" t="inlineStr">
        <is>
          <t>Decided (accepted Oct 28; was proposed)</t>
        </is>
      </c>
      <c r="J120" s="32" t="n"/>
      <c r="K120" s="33" t="inlineStr">
        <is>
          <t>1-6</t>
        </is>
      </c>
    </row>
    <row r="121">
      <c r="A121" s="32" t="inlineStr">
        <is>
          <t>R118</t>
        </is>
      </c>
      <c r="B121" s="32" t="inlineStr">
        <is>
          <t>Not started</t>
        </is>
      </c>
      <c r="C121" s="32" t="inlineStr">
        <is>
          <t>Data and timing</t>
        </is>
      </c>
      <c r="D121" s="32" t="inlineStr">
        <is>
          <t>Source</t>
        </is>
      </c>
      <c r="E121" s="32" t="inlineStr">
        <is>
          <t>Always</t>
        </is>
      </c>
      <c r="F121" s="32" t="inlineStr">
        <is>
          <t>Every record notes where it came from: manual, statement, or bank (future)</t>
        </is>
      </c>
      <c r="G121" s="32" t="n"/>
      <c r="H121" s="32" t="n"/>
      <c r="I121" s="32" t="inlineStr">
        <is>
          <t>Decided (manual now, statements next, bank one day)</t>
        </is>
      </c>
      <c r="J121" s="32" t="n"/>
      <c r="K121" s="33" t="inlineStr">
        <is>
          <t>1-6</t>
        </is>
      </c>
    </row>
    <row r="122">
      <c r="A122" s="32" t="inlineStr">
        <is>
          <t>R119</t>
        </is>
      </c>
      <c r="B122" s="32" t="inlineStr">
        <is>
          <t>Not started</t>
        </is>
      </c>
      <c r="C122" s="32" t="inlineStr">
        <is>
          <t>Data and timing</t>
        </is>
      </c>
      <c r="D122" s="32" t="inlineStr">
        <is>
          <t>Statement upload</t>
        </is>
      </c>
      <c r="E122" s="32" t="inlineStr">
        <is>
          <t>Later (phase 4)</t>
        </is>
      </c>
      <c r="F122" s="32" t="inlineStr">
        <is>
          <t>Upload a statement as CSV or PDF; lines are read and matched to existing records. Matches update actuals, new lines are offered as new records, likely duplicates are flagged for you to confirm</t>
        </is>
      </c>
      <c r="G122" s="32" t="n"/>
      <c r="H122" s="32" t="n"/>
      <c r="I122" s="32" t="inlineStr">
        <is>
          <t>Decided (you want statement upload and consolidation)</t>
        </is>
      </c>
      <c r="J122" s="32" t="n"/>
      <c r="K122" s="33" t="inlineStr">
        <is>
          <t>1-6</t>
        </is>
      </c>
    </row>
    <row r="123">
      <c r="A123" s="32" t="inlineStr">
        <is>
          <t>R120</t>
        </is>
      </c>
      <c r="B123" s="32" t="inlineStr">
        <is>
          <t>Not started</t>
        </is>
      </c>
      <c r="C123" s="32" t="inlineStr">
        <is>
          <t>Data and timing</t>
        </is>
      </c>
      <c r="D123" s="32" t="inlineStr">
        <is>
          <t>Bank connection</t>
        </is>
      </c>
      <c r="E123" s="32" t="inlineStr">
        <is>
          <t>Not planned</t>
        </is>
      </c>
      <c r="F123" s="32" t="inlineStr">
        <is>
          <t>Not built; records keep a 'bank' source value so it can slot in later without redesign</t>
        </is>
      </c>
      <c r="G123" s="32" t="n"/>
      <c r="H123" s="32" t="n"/>
      <c r="I123" s="32" t="inlineStr">
        <is>
          <t>Decided (one day, not soon)</t>
        </is>
      </c>
      <c r="J123" s="32" t="n"/>
      <c r="K123" s="33" t="inlineStr">
        <is>
          <t>1-6</t>
        </is>
      </c>
    </row>
    <row r="124">
      <c r="A124" s="32" t="inlineStr">
        <is>
          <t>R121</t>
        </is>
      </c>
      <c r="B124" s="32" t="inlineStr">
        <is>
          <t>Not started</t>
        </is>
      </c>
      <c r="C124" s="32" t="inlineStr">
        <is>
          <t>Data and timing</t>
        </is>
      </c>
      <c r="D124" s="32" t="inlineStr">
        <is>
          <t>Paid in advance</t>
        </is>
      </c>
      <c r="E124" s="32" t="inlineStr">
        <is>
          <t>A payment covers future months (yearly insurance, prepaid rent, annual subscription)</t>
        </is>
      </c>
      <c r="F124" s="32" t="inlineStr">
        <is>
          <t>Enter the amount, the date paid, and the months it covers</t>
        </is>
      </c>
      <c r="G124" s="32" t="n"/>
      <c r="H124" s="32" t="n"/>
      <c r="I124" s="32" t="inlineStr">
        <is>
          <t>Decided (your 'paying in advance')</t>
        </is>
      </c>
      <c r="J124" s="32" t="n"/>
      <c r="K124" s="33" t="inlineStr">
        <is>
          <t>1-6</t>
        </is>
      </c>
    </row>
    <row r="125">
      <c r="A125" s="32" t="inlineStr">
        <is>
          <t>R122</t>
        </is>
      </c>
      <c r="B125" s="32" t="inlineStr">
        <is>
          <t>Not started</t>
        </is>
      </c>
      <c r="C125" s="32" t="inlineStr">
        <is>
          <t>Data and timing</t>
        </is>
      </c>
      <c r="D125" s="32" t="inlineStr">
        <is>
          <t>Cash vs accrual</t>
        </is>
      </c>
      <c r="E125" s="32" t="inlineStr">
        <is>
          <t>Paid-in-advance or yearly record</t>
        </is>
      </c>
      <c r="F125" s="32" t="inlineStr">
        <is>
          <t>Calendar always shows cash basis (the day money left). Budget has a Cash | Accrual toggle: accrual spreads the cost across the months it covers</t>
        </is>
      </c>
      <c r="G125" s="32" t="n"/>
      <c r="H125" s="32" t="n"/>
      <c r="I125" s="32" t="inlineStr">
        <is>
          <t>Decided (you want both views)</t>
        </is>
      </c>
      <c r="J125" s="32" t="n"/>
      <c r="K125" s="33" t="inlineStr">
        <is>
          <t>1-6</t>
        </is>
      </c>
    </row>
    <row r="126">
      <c r="A126" s="32" t="inlineStr">
        <is>
          <t>R123</t>
        </is>
      </c>
      <c r="B126" s="32" t="inlineStr">
        <is>
          <t>Not started</t>
        </is>
      </c>
      <c r="C126" s="32" t="inlineStr">
        <is>
          <t>Data and timing</t>
        </is>
      </c>
      <c r="D126" s="32" t="inlineStr">
        <is>
          <t>Budget default basis</t>
        </is>
      </c>
      <c r="E126" s="32" t="inlineStr">
        <is>
          <t>Spending opened</t>
        </is>
      </c>
      <c r="F126" s="32" t="inlineStr">
        <is>
          <t>Accrual (monthly equivalent), so a yearly bill doesn't wreck one month</t>
        </is>
      </c>
      <c r="G126" s="32" t="inlineStr">
        <is>
          <t>Cash view shows the real month it hit</t>
        </is>
      </c>
      <c r="H126" s="32" t="n"/>
      <c r="I126" s="32" t="inlineStr">
        <is>
          <t>Decided (accepted Oct 28; was proposed)</t>
        </is>
      </c>
      <c r="J126" s="32" t="n"/>
      <c r="K126" s="33" t="inlineStr">
        <is>
          <t>1-6</t>
        </is>
      </c>
    </row>
    <row r="127">
      <c r="A127" s="32" t="inlineStr">
        <is>
          <t>R124</t>
        </is>
      </c>
      <c r="B127" s="32" t="inlineStr">
        <is>
          <t>Not started</t>
        </is>
      </c>
      <c r="C127" s="32" t="inlineStr">
        <is>
          <t>Data and timing</t>
        </is>
      </c>
      <c r="D127" s="32" t="inlineStr">
        <is>
          <t>Prepaid balance</t>
        </is>
      </c>
      <c r="E127" s="32" t="inlineStr">
        <is>
          <t>Paid in advance, accrual on</t>
        </is>
      </c>
      <c r="F127" s="32" t="inlineStr">
        <is>
          <t>Unused portion shows as a small 'prepaid' asset that runs down each month</t>
        </is>
      </c>
      <c r="G127" s="32" t="n"/>
      <c r="H127" s="32" t="n"/>
      <c r="I127" s="32" t="inlineStr">
        <is>
          <t>Decided (accepted Oct 28; was proposed)</t>
        </is>
      </c>
      <c r="J127" s="32" t="n"/>
      <c r="K127" s="33" t="inlineStr">
        <is>
          <t>1-6</t>
        </is>
      </c>
    </row>
    <row r="128">
      <c r="A128" s="32" t="inlineStr">
        <is>
          <t>R125</t>
        </is>
      </c>
      <c r="B128" s="32" t="inlineStr">
        <is>
          <t>Not started</t>
        </is>
      </c>
      <c r="C128" s="32" t="inlineStr">
        <is>
          <t>Data and timing</t>
        </is>
      </c>
      <c r="D128" s="32" t="inlineStr">
        <is>
          <t>History</t>
        </is>
      </c>
      <c r="E128" s="32" t="inlineStr">
        <is>
          <t>Any number changes</t>
        </is>
      </c>
      <c r="F128" s="32" t="inlineStr">
        <is>
          <t>Old value is kept with its date (not overwritten). Snapshots sit on top for session comparisons</t>
        </is>
      </c>
      <c r="G128" s="32" t="n"/>
      <c r="H128" s="32" t="n"/>
      <c r="I128" s="32" t="inlineStr">
        <is>
          <t>Decided (accepted Oct 28; was proposed)</t>
        </is>
      </c>
      <c r="J128" s="32" t="n"/>
      <c r="K128" s="33" t="inlineStr">
        <is>
          <t>1-6</t>
        </is>
      </c>
    </row>
    <row r="129">
      <c r="A129" s="32" t="inlineStr">
        <is>
          <t>R126</t>
        </is>
      </c>
      <c r="B129" s="32" t="inlineStr">
        <is>
          <t>Not started</t>
        </is>
      </c>
      <c r="C129" s="32" t="inlineStr">
        <is>
          <t>Data and timing</t>
        </is>
      </c>
      <c r="D129" s="32" t="inlineStr">
        <is>
          <t>Year in review (Wrapped)</t>
        </is>
      </c>
      <c r="E129" s="32" t="inlineStr">
        <is>
          <t>12 months of history exist</t>
        </is>
      </c>
      <c r="F129" s="32" t="inlineStr">
        <is>
          <t>Wrapped-style recap: biggest wins, debt paid, savings rate trend, top categories, estimate accuracy</t>
        </is>
      </c>
      <c r="G129" s="32" t="n"/>
      <c r="H129" s="32" t="n"/>
      <c r="I129" s="32" t="inlineStr">
        <is>
          <t>Decided (you want Wrapped)</t>
        </is>
      </c>
      <c r="J129" s="32" t="n"/>
      <c r="K129" s="33" t="inlineStr">
        <is>
          <t>1-6</t>
        </is>
      </c>
    </row>
    <row r="130">
      <c r="A130" s="32" t="inlineStr">
        <is>
          <t>R127</t>
        </is>
      </c>
      <c r="B130" s="32" t="inlineStr">
        <is>
          <t>Not started</t>
        </is>
      </c>
      <c r="C130" s="32" t="inlineStr">
        <is>
          <t>Data and timing</t>
        </is>
      </c>
      <c r="D130" s="32" t="inlineStr">
        <is>
          <t>Household</t>
        </is>
      </c>
      <c r="E130" s="32" t="inlineStr">
        <is>
          <t>Always</t>
        </is>
      </c>
      <c r="F130" s="32" t="inlineStr">
        <is>
          <t>One client file = one household; couples are two people inside one file</t>
        </is>
      </c>
      <c r="G130" s="32" t="n"/>
      <c r="H130" s="32" t="n"/>
      <c r="I130" s="32" t="inlineStr">
        <is>
          <t>Decided (Oct 28)</t>
        </is>
      </c>
      <c r="J130" s="32" t="n"/>
      <c r="K130" s="33" t="inlineStr">
        <is>
          <t>1-6</t>
        </is>
      </c>
    </row>
    <row r="131">
      <c r="A131" s="32" t="inlineStr">
        <is>
          <t>R128</t>
        </is>
      </c>
      <c r="B131" s="32" t="inlineStr">
        <is>
          <t>Not started</t>
        </is>
      </c>
      <c r="C131" s="32" t="inlineStr">
        <is>
          <t>Data and timing</t>
        </is>
      </c>
      <c r="D131" s="32" t="inlineStr">
        <is>
          <t>Device</t>
        </is>
      </c>
      <c r="E131" s="32" t="inlineStr">
        <is>
          <t>Now</t>
        </is>
      </c>
      <c r="F131" s="32" t="inlineStr">
        <is>
          <t>Laptop only. If clients get access later, their view is built phone-first</t>
        </is>
      </c>
      <c r="G131" s="32" t="n"/>
      <c r="H131" s="32" t="n"/>
      <c r="I131" s="32" t="inlineStr">
        <is>
          <t>Decided (Oct 28)</t>
        </is>
      </c>
      <c r="J131" s="32" t="n"/>
      <c r="K131" s="33" t="inlineStr">
        <is>
          <t>1-6</t>
        </is>
      </c>
    </row>
    <row r="132">
      <c r="A132" s="32" t="inlineStr">
        <is>
          <t>R129</t>
        </is>
      </c>
      <c r="B132" s="32" t="inlineStr">
        <is>
          <t>Not started</t>
        </is>
      </c>
      <c r="C132" s="32" t="inlineStr">
        <is>
          <t>Data and timing</t>
        </is>
      </c>
      <c r="D132" s="32" t="inlineStr">
        <is>
          <t>Client logging</t>
        </is>
      </c>
      <c r="E132" s="32" t="inlineStr">
        <is>
          <t>Now</t>
        </is>
      </c>
      <c r="F132" s="32" t="inlineStr">
        <is>
          <t>Only you edit. Client logging between sessions is a later phase</t>
        </is>
      </c>
      <c r="G132" s="32" t="n"/>
      <c r="H132" s="32" t="n"/>
      <c r="I132" s="32" t="inlineStr">
        <is>
          <t>Decided (Oct 28)</t>
        </is>
      </c>
      <c r="J132" s="32" t="n"/>
      <c r="K132" s="33" t="inlineStr">
        <is>
          <t>1-6</t>
        </is>
      </c>
    </row>
    <row r="133">
      <c r="A133" s="32" t="inlineStr">
        <is>
          <t>R130</t>
        </is>
      </c>
      <c r="B133" s="32" t="inlineStr">
        <is>
          <t>Not started</t>
        </is>
      </c>
      <c r="C133" s="32" t="inlineStr">
        <is>
          <t>Data and timing</t>
        </is>
      </c>
      <c r="D133" s="32" t="inlineStr">
        <is>
          <t>Budget passes</t>
        </is>
      </c>
      <c r="E133" s="32" t="inlineStr">
        <is>
          <t>Always</t>
        </is>
      </c>
      <c r="F133" s="32" t="inlineStr">
        <is>
          <t>Five passes in order: Gut, Basics, Rough, Estimate, Actual</t>
        </is>
      </c>
      <c r="G133" s="32" t="n"/>
      <c r="H133" s="32" t="n"/>
      <c r="I133" s="32" t="inlineStr">
        <is>
          <t>Decided (Oct 28)</t>
        </is>
      </c>
      <c r="J133" s="32" t="n"/>
      <c r="K133" s="33" t="inlineStr">
        <is>
          <t>1-6</t>
        </is>
      </c>
    </row>
    <row r="134">
      <c r="A134" s="32" t="inlineStr">
        <is>
          <t>R131</t>
        </is>
      </c>
      <c r="B134" s="32" t="inlineStr">
        <is>
          <t>Not started</t>
        </is>
      </c>
      <c r="C134" s="32" t="inlineStr">
        <is>
          <t>Data and timing</t>
        </is>
      </c>
      <c r="D134" s="32" t="inlineStr">
        <is>
          <t>Pass: Gut</t>
        </is>
      </c>
      <c r="E134" s="32" t="inlineStr">
        <is>
          <t>First minutes</t>
        </is>
      </c>
      <c r="F134" s="32" t="inlineStr">
        <is>
          <t>One number: 'what do you think you spend?' A test, kept to compare later</t>
        </is>
      </c>
      <c r="G134" s="32" t="n"/>
      <c r="H134" s="32" t="n"/>
      <c r="I134" s="32" t="inlineStr">
        <is>
          <t>Decided (Oct 28)</t>
        </is>
      </c>
      <c r="J134" s="32" t="n"/>
      <c r="K134" s="33" t="inlineStr">
        <is>
          <t>1-6</t>
        </is>
      </c>
    </row>
    <row r="135">
      <c r="A135" s="32" t="inlineStr">
        <is>
          <t>R132</t>
        </is>
      </c>
      <c r="B135" s="32" t="inlineStr">
        <is>
          <t>Not started</t>
        </is>
      </c>
      <c r="C135" s="32" t="inlineStr">
        <is>
          <t>Data and timing</t>
        </is>
      </c>
      <c r="D135" s="32" t="inlineStr">
        <is>
          <t>Pass: Basics</t>
        </is>
      </c>
      <c r="E135" s="32" t="inlineStr">
        <is>
          <t>Fast Track</t>
        </is>
      </c>
      <c r="F135" s="32" t="inlineStr">
        <is>
          <t>Sum totals by area, not line items</t>
        </is>
      </c>
      <c r="G135" s="32" t="n"/>
      <c r="H135" s="32" t="n"/>
      <c r="I135" s="32" t="inlineStr">
        <is>
          <t>Decided (Oct 28: Fast Track = Basics)</t>
        </is>
      </c>
      <c r="J135" s="32" t="n"/>
      <c r="K135" s="33" t="inlineStr">
        <is>
          <t>1-6</t>
        </is>
      </c>
    </row>
    <row r="136">
      <c r="A136" s="32" t="inlineStr">
        <is>
          <t>R133</t>
        </is>
      </c>
      <c r="B136" s="32" t="inlineStr">
        <is>
          <t>Not started</t>
        </is>
      </c>
      <c r="C136" s="32" t="inlineStr">
        <is>
          <t>Data and timing</t>
        </is>
      </c>
      <c r="D136" s="32" t="inlineStr">
        <is>
          <t>Pass: Rough</t>
        </is>
      </c>
      <c r="E136" s="32" t="inlineStr">
        <is>
          <t>Going through line items in session</t>
        </is>
      </c>
      <c r="F136" s="32" t="inlineStr">
        <is>
          <t>Temporary placeholders for what it usually is; meant to be replaced</t>
        </is>
      </c>
      <c r="G136" s="32" t="n"/>
      <c r="H136" s="32" t="n"/>
      <c r="I136" s="32" t="inlineStr">
        <is>
          <t>Decided (Oct 28)</t>
        </is>
      </c>
      <c r="J136" s="32" t="n"/>
      <c r="K136" s="33" t="inlineStr">
        <is>
          <t>1-6</t>
        </is>
      </c>
    </row>
    <row r="137">
      <c r="A137" s="32" t="inlineStr">
        <is>
          <t>R134</t>
        </is>
      </c>
      <c r="B137" s="32" t="inlineStr">
        <is>
          <t>Not started</t>
        </is>
      </c>
      <c r="C137" s="32" t="inlineStr">
        <is>
          <t>Data and timing</t>
        </is>
      </c>
      <c r="D137" s="32" t="inlineStr">
        <is>
          <t>Pass: Estimate</t>
        </is>
      </c>
      <c r="E137" s="32" t="inlineStr">
        <is>
          <t>Planning the coming month</t>
        </is>
      </c>
      <c r="F137" s="32" t="inlineStr">
        <is>
          <t>What we expect this month, including the known amounts (rent, subscriptions); a plan, not a placeholder</t>
        </is>
      </c>
      <c r="G137" s="32" t="n"/>
      <c r="H137" s="32" t="n"/>
      <c r="I137" s="32" t="inlineStr">
        <is>
          <t>Decided (Oct 28)</t>
        </is>
      </c>
      <c r="J137" s="32" t="n"/>
      <c r="K137" s="33" t="inlineStr">
        <is>
          <t>1-6</t>
        </is>
      </c>
    </row>
    <row r="138">
      <c r="A138" s="32" t="inlineStr">
        <is>
          <t>R135</t>
        </is>
      </c>
      <c r="B138" s="32" t="inlineStr">
        <is>
          <t>Not started</t>
        </is>
      </c>
      <c r="C138" s="32" t="inlineStr">
        <is>
          <t>Data and timing</t>
        </is>
      </c>
      <c r="D138" s="32" t="inlineStr">
        <is>
          <t>Pass: Actual</t>
        </is>
      </c>
      <c r="E138" s="32" t="inlineStr">
        <is>
          <t>Month closes</t>
        </is>
      </c>
      <c r="F138" s="32" t="inlineStr">
        <is>
          <t>Confirms or changes each estimate; differences show at month-end close</t>
        </is>
      </c>
      <c r="G138" s="32" t="n"/>
      <c r="H138" s="32" t="n"/>
      <c r="I138" s="32" t="inlineStr">
        <is>
          <t>Decided (Oct 28)</t>
        </is>
      </c>
      <c r="J138" s="32" t="n"/>
      <c r="K138" s="33" t="inlineStr">
        <is>
          <t>1-6</t>
        </is>
      </c>
    </row>
    <row r="139">
      <c r="A139" s="32" t="inlineStr">
        <is>
          <t>R136</t>
        </is>
      </c>
      <c r="B139" s="32" t="inlineStr">
        <is>
          <t>Not started</t>
        </is>
      </c>
      <c r="C139" s="32" t="inlineStr">
        <is>
          <t>Data and timing</t>
        </is>
      </c>
      <c r="D139" s="32" t="inlineStr">
        <is>
          <t>Rough vs Estimate</t>
        </is>
      </c>
      <c r="E139" s="32" t="inlineStr">
        <is>
          <t>A line has a Rough number when a month is planned</t>
        </is>
      </c>
      <c r="F139" s="32" t="inlineStr">
        <is>
          <t>Rough carries over as the starting Estimate and is marked 'from Rough' until you confirm it</t>
        </is>
      </c>
      <c r="G139" s="32" t="n"/>
      <c r="H139" s="32" t="n"/>
      <c r="I139" s="32" t="inlineStr">
        <is>
          <t>Decided (accepted Oct 28; was proposed)</t>
        </is>
      </c>
      <c r="J139" s="32" t="n"/>
      <c r="K139" s="33" t="inlineStr">
        <is>
          <t>1-6</t>
        </is>
      </c>
    </row>
    <row r="140">
      <c r="A140" s="32" t="inlineStr">
        <is>
          <t>R137</t>
        </is>
      </c>
      <c r="B140" s="32" t="inlineStr">
        <is>
          <t>Not started</t>
        </is>
      </c>
      <c r="C140" s="32" t="inlineStr">
        <is>
          <t>Fixed vs variable</t>
        </is>
      </c>
      <c r="D140" s="32" t="inlineStr">
        <is>
          <t>Every spending line</t>
        </is>
      </c>
      <c r="E140" s="32" t="inlineStr">
        <is>
          <t>Always</t>
        </is>
      </c>
      <c r="F140" s="32" t="inlineStr">
        <is>
          <t>Tagged Fixed or Variable (default by category, editable)</t>
        </is>
      </c>
      <c r="G140" s="32" t="n"/>
      <c r="H140" s="32" t="inlineStr">
        <is>
          <t>Rent, subscriptions, insurance = Fixed. Food, lattes, gas = Variable</t>
        </is>
      </c>
      <c r="I140" s="32" t="inlineStr">
        <is>
          <t>Decided (Oct 28)</t>
        </is>
      </c>
      <c r="J140" s="32" t="n"/>
      <c r="K140" s="33" t="inlineStr">
        <is>
          <t>6</t>
        </is>
      </c>
    </row>
    <row r="141">
      <c r="A141" s="32" t="inlineStr">
        <is>
          <t>R138</t>
        </is>
      </c>
      <c r="B141" s="32" t="inlineStr">
        <is>
          <t>Not started</t>
        </is>
      </c>
      <c r="C141" s="32" t="inlineStr">
        <is>
          <t>Fixed vs variable</t>
        </is>
      </c>
      <c r="D141" s="32" t="inlineStr">
        <is>
          <t>Two tags, not three</t>
        </is>
      </c>
      <c r="E141" s="32" t="inlineStr">
        <is>
          <t>Every spending line</t>
        </is>
      </c>
      <c r="F141" s="32" t="inlineStr">
        <is>
          <t>Amount: Fixed | Variable. Timing: Fixed date | Variable date. Electric = variable amount, fixed date</t>
        </is>
      </c>
      <c r="G141" s="32" t="n"/>
      <c r="H141" s="32" t="n"/>
      <c r="I141" s="32" t="inlineStr">
        <is>
          <t>Decided (Oct 28: amount and timing are separate)</t>
        </is>
      </c>
      <c r="J141" s="32" t="n"/>
      <c r="K141" s="33" t="inlineStr">
        <is>
          <t>6</t>
        </is>
      </c>
    </row>
    <row r="142">
      <c r="A142" s="32" t="inlineStr">
        <is>
          <t>R139</t>
        </is>
      </c>
      <c r="B142" s="32" t="inlineStr">
        <is>
          <t>Not started</t>
        </is>
      </c>
      <c r="C142" s="32" t="inlineStr">
        <is>
          <t>Fixed vs variable</t>
        </is>
      </c>
      <c r="D142" s="32" t="inlineStr">
        <is>
          <t>Four kinds</t>
        </is>
      </c>
      <c r="E142" s="32" t="inlineStr">
        <is>
          <t>Both tags set</t>
        </is>
      </c>
      <c r="F142" s="32" t="inlineStr">
        <is>
          <t>Fixed amount + fixed date (rent, subscriptions). Variable amount + fixed date (electric, phone overages). Fixed amount + variable date (haircut, oil change). Variable amount + variable date (groceries, lattes, gas)</t>
        </is>
      </c>
      <c r="G142" s="32" t="n"/>
      <c r="H142" s="32" t="n"/>
      <c r="I142" s="32" t="inlineStr">
        <is>
          <t>Decided (Oct 28)</t>
        </is>
      </c>
      <c r="J142" s="32" t="n"/>
      <c r="K142" s="33" t="inlineStr">
        <is>
          <t>6</t>
        </is>
      </c>
    </row>
    <row r="143">
      <c r="A143" s="32" t="inlineStr">
        <is>
          <t>R140</t>
        </is>
      </c>
      <c r="B143" s="32" t="inlineStr">
        <is>
          <t>Not started</t>
        </is>
      </c>
      <c r="C143" s="32" t="inlineStr">
        <is>
          <t>Fixed vs variable</t>
        </is>
      </c>
      <c r="D143" s="32" t="inlineStr">
        <is>
          <t>Calendar placement</t>
        </is>
      </c>
      <c r="E143" s="32" t="inlineStr">
        <is>
          <t>Timing = Fixed date</t>
        </is>
      </c>
      <c r="F143" s="32" t="inlineStr">
        <is>
          <t>Placed on its exact day</t>
        </is>
      </c>
      <c r="G143" s="32" t="inlineStr">
        <is>
          <t>Variable date: spread evenly (weekly or per visit) so the running balance stays realistic</t>
        </is>
      </c>
      <c r="H143" s="32" t="n"/>
      <c r="I143" s="32" t="inlineStr">
        <is>
          <t>Decided (accepted Oct 28; was proposed)</t>
        </is>
      </c>
      <c r="J143" s="32" t="n"/>
      <c r="K143" s="33" t="inlineStr">
        <is>
          <t>6</t>
        </is>
      </c>
    </row>
    <row r="144">
      <c r="A144" s="32" t="inlineStr">
        <is>
          <t>R141</t>
        </is>
      </c>
      <c r="B144" s="32" t="inlineStr">
        <is>
          <t>Not started</t>
        </is>
      </c>
      <c r="C144" s="32" t="inlineStr">
        <is>
          <t>Fixed vs variable</t>
        </is>
      </c>
      <c r="D144" s="32" t="inlineStr">
        <is>
          <t>Estimate accuracy</t>
        </is>
      </c>
      <c r="E144" s="32" t="inlineStr">
        <is>
          <t>Amount = Variable</t>
        </is>
      </c>
      <c r="F144" s="32" t="inlineStr">
        <is>
          <t>Tracked for how far off it runs; most attention at month-end close</t>
        </is>
      </c>
      <c r="G144" s="32" t="inlineStr">
        <is>
          <t>Fixed amount: a change is flagged as 'price went up'</t>
        </is>
      </c>
      <c r="H144" s="32" t="n"/>
      <c r="I144" s="32" t="inlineStr">
        <is>
          <t>Decided (accepted Oct 28; was proposed)</t>
        </is>
      </c>
      <c r="J144" s="32" t="n"/>
      <c r="K144" s="33" t="inlineStr">
        <is>
          <t>6</t>
        </is>
      </c>
    </row>
    <row r="145">
      <c r="A145" s="32" t="inlineStr">
        <is>
          <t>R142</t>
        </is>
      </c>
      <c r="B145" s="32" t="inlineStr">
        <is>
          <t>Not started</t>
        </is>
      </c>
      <c r="C145" s="32" t="inlineStr">
        <is>
          <t>Fixed vs variable</t>
        </is>
      </c>
      <c r="D145" s="32" t="inlineStr">
        <is>
          <t>Timing risk</t>
        </is>
      </c>
      <c r="E145" s="32" t="inlineStr">
        <is>
          <t>Timing = Variable date and amount is large</t>
        </is>
      </c>
      <c r="F145" s="32" t="inlineStr">
        <is>
          <t>Flagged as a cash-flow risk on the calendar</t>
        </is>
      </c>
      <c r="G145" s="32" t="n"/>
      <c r="H145" s="32" t="n"/>
      <c r="I145" s="32" t="inlineStr">
        <is>
          <t>Decided (accepted Oct 28; was proposed)</t>
        </is>
      </c>
      <c r="J145" s="32" t="n"/>
      <c r="K145" s="33" t="inlineStr">
        <is>
          <t>6</t>
        </is>
      </c>
    </row>
    <row r="146">
      <c r="A146" s="32" t="inlineStr">
        <is>
          <t>R143</t>
        </is>
      </c>
      <c r="B146" s="32" t="inlineStr">
        <is>
          <t>Not started</t>
        </is>
      </c>
      <c r="C146" s="32" t="inlineStr">
        <is>
          <t>Fixed vs variable</t>
        </is>
      </c>
      <c r="D146" s="32" t="inlineStr">
        <is>
          <t>Fixed line suggestions</t>
        </is>
      </c>
      <c r="E146" s="32" t="inlineStr">
        <is>
          <t>Looking for savings</t>
        </is>
      </c>
      <c r="F146" s="32" t="inlineStr">
        <is>
          <t>Offer: keep, cancel, renegotiate, or switch (easy to eliminate, hard to lower)</t>
        </is>
      </c>
      <c r="G146" s="32" t="n"/>
      <c r="H146" s="32" t="n"/>
      <c r="I146" s="32" t="inlineStr">
        <is>
          <t>Decided (Oct 28 reasoning)</t>
        </is>
      </c>
      <c r="J146" s="32" t="n"/>
      <c r="K146" s="33" t="inlineStr">
        <is>
          <t>6</t>
        </is>
      </c>
    </row>
    <row r="147">
      <c r="A147" s="32" t="inlineStr">
        <is>
          <t>R144</t>
        </is>
      </c>
      <c r="B147" s="32" t="inlineStr">
        <is>
          <t>Not started</t>
        </is>
      </c>
      <c r="C147" s="32" t="inlineStr">
        <is>
          <t>Fixed vs variable</t>
        </is>
      </c>
      <c r="D147" s="32" t="inlineStr">
        <is>
          <t>Variable line suggestions</t>
        </is>
      </c>
      <c r="E147" s="32" t="inlineStr">
        <is>
          <t>Looking for savings</t>
        </is>
      </c>
      <c r="F147" s="32" t="inlineStr">
        <is>
          <t>Offer: set a lower target or a cap (easy to lower, hard to eliminate)</t>
        </is>
      </c>
      <c r="G147" s="32" t="n"/>
      <c r="H147" s="32" t="n"/>
      <c r="I147" s="32" t="inlineStr">
        <is>
          <t>Decided (Oct 28 reasoning)</t>
        </is>
      </c>
      <c r="J147" s="32" t="n"/>
      <c r="K147" s="33" t="inlineStr">
        <is>
          <t>6</t>
        </is>
      </c>
    </row>
    <row r="148">
      <c r="A148" s="32" t="inlineStr">
        <is>
          <t>R145</t>
        </is>
      </c>
      <c r="B148" s="32" t="inlineStr">
        <is>
          <t>Not started</t>
        </is>
      </c>
      <c r="C148" s="32" t="inlineStr">
        <is>
          <t>Fixed vs variable</t>
        </is>
      </c>
      <c r="D148" s="32" t="inlineStr">
        <is>
          <t>Focus</t>
        </is>
      </c>
      <c r="E148" s="32" t="inlineStr">
        <is>
          <t>Estimate vs actual at month end</t>
        </is>
      </c>
      <c r="F148" s="32" t="inlineStr">
        <is>
          <t>Variable lines get more attention: their misses are listed first and they're tracked for how far off they usually are</t>
        </is>
      </c>
      <c r="G148" s="32" t="n"/>
      <c r="H148" s="32" t="n"/>
      <c r="I148" s="32" t="inlineStr">
        <is>
          <t>Decided (Oct 28: variable is higher risk)</t>
        </is>
      </c>
      <c r="J148" s="32" t="n"/>
      <c r="K148" s="33" t="inlineStr">
        <is>
          <t>6</t>
        </is>
      </c>
    </row>
    <row r="149">
      <c r="A149" s="32" t="inlineStr">
        <is>
          <t>R146</t>
        </is>
      </c>
      <c r="B149" s="32" t="inlineStr">
        <is>
          <t>Not started</t>
        </is>
      </c>
      <c r="C149" s="32" t="inlineStr">
        <is>
          <t>Fixed vs variable</t>
        </is>
      </c>
      <c r="D149" s="32" t="inlineStr">
        <is>
          <t>Totals</t>
        </is>
      </c>
      <c r="E149" s="32" t="inlineStr">
        <is>
          <t>Budget and Report</t>
        </is>
      </c>
      <c r="F149" s="32" t="inlineStr">
        <is>
          <t>Show fixed total and variable total side by side, with % of take-home each</t>
        </is>
      </c>
      <c r="G149" s="32" t="n"/>
      <c r="H149" s="32" t="n"/>
      <c r="I149" s="32" t="inlineStr">
        <is>
          <t>Decided (accepted Oct 28; was proposed)</t>
        </is>
      </c>
      <c r="J149" s="32" t="n"/>
      <c r="K149" s="33" t="inlineStr">
        <is>
          <t>6</t>
        </is>
      </c>
    </row>
    <row r="150">
      <c r="A150" s="32" t="inlineStr">
        <is>
          <t>R147</t>
        </is>
      </c>
      <c r="B150" s="32" t="inlineStr">
        <is>
          <t>Not started</t>
        </is>
      </c>
      <c r="C150" s="32" t="inlineStr">
        <is>
          <t>Fixed vs variable</t>
        </is>
      </c>
      <c r="D150" s="32" t="inlineStr">
        <is>
          <t>Fixed cost floor</t>
        </is>
      </c>
      <c r="E150" s="32" t="inlineStr">
        <is>
          <t>Always</t>
        </is>
      </c>
      <c r="F150" s="32" t="inlineStr">
        <is>
          <t>Fixed total = the monthly floor; feeds runway and Lean FI checks</t>
        </is>
      </c>
      <c r="G150" s="32" t="n"/>
      <c r="H150" s="32" t="n"/>
      <c r="I150" s="32" t="inlineStr">
        <is>
          <t>Decided (accepted Oct 28; was proposed)</t>
        </is>
      </c>
      <c r="J150" s="32" t="n"/>
      <c r="K150" s="33" t="inlineStr">
        <is>
          <t>6</t>
        </is>
      </c>
    </row>
    <row r="151">
      <c r="A151" s="32" t="inlineStr">
        <is>
          <t>R148</t>
        </is>
      </c>
      <c r="B151" s="32" t="inlineStr">
        <is>
          <t>Not started</t>
        </is>
      </c>
      <c r="C151" s="32" t="inlineStr">
        <is>
          <t>Data and timing</t>
        </is>
      </c>
      <c r="D151" s="32" t="inlineStr">
        <is>
          <t>DRAFTT</t>
        </is>
      </c>
      <c r="E151" s="32" t="inlineStr">
        <is>
          <t>Always</t>
        </is>
      </c>
      <c r="F151" s="32" t="inlineStr">
        <is>
          <t>Budget lines are plain categories; each carries a DRAFTT tag (from its category, editable). DRAFTT is a view built from the tags, so graceful degradation and DRAFTT shares can be measured</t>
        </is>
      </c>
      <c r="G151" s="32" t="n"/>
      <c r="H151" s="32" t="n"/>
      <c r="I151" s="32" t="inlineStr">
        <is>
          <t>Decided (Oct 28)</t>
        </is>
      </c>
      <c r="J151" s="32" t="n"/>
      <c r="K151" s="33" t="inlineStr">
        <is>
          <t>1-6</t>
        </is>
      </c>
    </row>
    <row r="152">
      <c r="A152" s="32" t="inlineStr">
        <is>
          <t>R149</t>
        </is>
      </c>
      <c r="B152" s="32" t="inlineStr">
        <is>
          <t>Not started</t>
        </is>
      </c>
      <c r="C152" s="32" t="inlineStr">
        <is>
          <t>Data and timing</t>
        </is>
      </c>
      <c r="D152" s="32" t="inlineStr">
        <is>
          <t>Guess vs Roughly</t>
        </is>
      </c>
      <c r="E152" s="32" t="inlineStr">
        <is>
          <t>Always</t>
        </is>
      </c>
      <c r="F152" s="32" t="inlineStr">
        <is>
          <t>Kept separate: Roughly = client's ballpark, Guess = app's typical number</t>
        </is>
      </c>
      <c r="G152" s="32" t="n"/>
      <c r="H152" s="32" t="n"/>
      <c r="I152" s="32" t="inlineStr">
        <is>
          <t>Decided (Oct 28)</t>
        </is>
      </c>
      <c r="J152" s="32" t="n"/>
      <c r="K152" s="33" t="inlineStr">
        <is>
          <t>1-6</t>
        </is>
      </c>
    </row>
    <row r="153">
      <c r="A153" s="32" t="inlineStr">
        <is>
          <t>R150</t>
        </is>
      </c>
      <c r="B153" s="32" t="inlineStr">
        <is>
          <t>Not started</t>
        </is>
      </c>
      <c r="C153" s="32" t="inlineStr">
        <is>
          <t>Data and timing</t>
        </is>
      </c>
      <c r="D153" s="32" t="inlineStr">
        <is>
          <t>Tab names</t>
        </is>
      </c>
      <c r="E153" s="32" t="inlineStr">
        <is>
          <t>Always</t>
        </is>
      </c>
      <c r="F153" s="32" t="inlineStr">
        <is>
          <t>Home, My Money, Spending, Plan, Report</t>
        </is>
      </c>
      <c r="G153" s="32" t="n"/>
      <c r="H153" s="32" t="n"/>
      <c r="I153" s="32" t="inlineStr">
        <is>
          <t>Decided (Oct 28: rename Numbers and Results)</t>
        </is>
      </c>
      <c r="J153" s="32" t="n"/>
      <c r="K153" s="33" t="inlineStr">
        <is>
          <t>1-6</t>
        </is>
      </c>
    </row>
    <row r="154">
      <c r="A154" s="32" t="inlineStr">
        <is>
          <t>R151</t>
        </is>
      </c>
      <c r="B154" s="32" t="inlineStr">
        <is>
          <t>Not started</t>
        </is>
      </c>
      <c r="C154" s="32" t="inlineStr">
        <is>
          <t>Data and timing</t>
        </is>
      </c>
      <c r="D154" s="32" t="inlineStr">
        <is>
          <t>Backups</t>
        </is>
      </c>
      <c r="E154" s="32" t="inlineStr">
        <is>
          <t>Last export older than 7 days, or End session</t>
        </is>
      </c>
      <c r="F154" s="32" t="inlineStr">
        <is>
          <t>Show 'Last backup 9 days ago' with 'Back up now'; End session downloads a backup file automatically</t>
        </is>
      </c>
      <c r="G154" s="32" t="n"/>
      <c r="H154" s="32" t="n"/>
      <c r="I154" s="32" t="inlineStr">
        <is>
          <t>Decided (audit: browser storage can be wiped)</t>
        </is>
      </c>
      <c r="J154" s="32" t="n"/>
      <c r="K154" s="33" t="inlineStr">
        <is>
          <t>1-6</t>
        </is>
      </c>
    </row>
    <row r="155">
      <c r="A155" s="32" t="inlineStr">
        <is>
          <t>R152</t>
        </is>
      </c>
      <c r="B155" s="32" t="inlineStr">
        <is>
          <t>Not started</t>
        </is>
      </c>
      <c r="C155" s="32" t="inlineStr">
        <is>
          <t>Data and timing</t>
        </is>
      </c>
      <c r="D155" s="32" t="inlineStr">
        <is>
          <t>Rule conflicts</t>
        </is>
      </c>
      <c r="E155" s="32" t="inlineStr">
        <is>
          <t>Two rules disagree</t>
        </is>
      </c>
      <c r="F155" s="32" t="inlineStr">
        <is>
          <t>The rule with the later date wins; log the conflict in QUESTIONS.md</t>
        </is>
      </c>
      <c r="G155" s="32" t="n"/>
      <c r="H155" s="32" t="n"/>
      <c r="I155" s="32" t="inlineStr">
        <is>
          <t>Decided (audit)</t>
        </is>
      </c>
      <c r="J155" s="32" t="n"/>
      <c r="K155" s="33" t="inlineStr">
        <is>
          <t>1-6</t>
        </is>
      </c>
    </row>
    <row r="156">
      <c r="A156" s="32" t="inlineStr">
        <is>
          <t>R153</t>
        </is>
      </c>
      <c r="B156" s="32" t="inlineStr">
        <is>
          <t>Not started</t>
        </is>
      </c>
      <c r="C156" s="32" t="inlineStr">
        <is>
          <t>Data and timing</t>
        </is>
      </c>
      <c r="D156" s="32" t="inlineStr">
        <is>
          <t>Old data</t>
        </is>
      </c>
      <c r="E156" s="32" t="inlineStr">
        <is>
          <t>Moving from the old SLAM</t>
        </is>
      </c>
      <c r="F156" s="32" t="inlineStr">
        <is>
          <t>No import from the old app. Your numbers come from the private Test client file</t>
        </is>
      </c>
      <c r="G156" s="32" t="n"/>
      <c r="H156" s="32" t="n"/>
      <c r="I156" s="32" t="inlineStr">
        <is>
          <t>Decided (audit: no baggage)</t>
        </is>
      </c>
      <c r="J156" s="32" t="n"/>
      <c r="K156" s="33" t="inlineStr">
        <is>
          <t>1-6</t>
        </is>
      </c>
    </row>
    <row r="157">
      <c r="A157" s="32" t="inlineStr">
        <is>
          <t>R154</t>
        </is>
      </c>
      <c r="B157" s="32" t="inlineStr">
        <is>
          <t>Not started</t>
        </is>
      </c>
      <c r="C157" s="32" t="inlineStr">
        <is>
          <t>Time view</t>
        </is>
      </c>
      <c r="D157" s="32" t="inlineStr">
        <is>
          <t>Every money number</t>
        </is>
      </c>
      <c r="E157" s="32" t="inlineStr">
        <is>
          <t>Toggle set to Hours of work or FI days</t>
        </is>
      </c>
      <c r="F157" s="32" t="inlineStr">
        <is>
          <t>Every amount converts: hours = amount / real hourly wage; FI days = amount / (annual spending / 365)</t>
        </is>
      </c>
      <c r="G157" s="32" t="inlineStr">
        <is>
          <t>Missing hourly wage: toggle explains what's needed</t>
        </is>
      </c>
      <c r="H157" s="32" t="n"/>
      <c r="I157" s="32" t="inlineStr">
        <is>
          <t>Decided (Oct 28: everything converts to time)</t>
        </is>
      </c>
      <c r="J157" s="32" t="n"/>
      <c r="K157" s="33" t="inlineStr">
        <is>
          <t>2-3</t>
        </is>
      </c>
    </row>
    <row r="158">
      <c r="A158" s="32" t="inlineStr">
        <is>
          <t>R155</t>
        </is>
      </c>
      <c r="B158" s="32" t="inlineStr">
        <is>
          <t>Not started</t>
        </is>
      </c>
      <c r="C158" s="32" t="inlineStr">
        <is>
          <t>Time view</t>
        </is>
      </c>
      <c r="D158" s="32" t="inlineStr">
        <is>
          <t>No hours entered yet</t>
        </is>
      </c>
      <c r="E158" s="32" t="inlineStr">
        <is>
          <t>Real hourly wage missing</t>
        </is>
      </c>
      <c r="F158" s="32" t="inlineStr">
        <is>
          <t>Use take-home / 173 hours (40 a week) labeled Guess, so the toggle works from day one; real hours replace it once entered</t>
        </is>
      </c>
      <c r="G158" s="32" t="n"/>
      <c r="H158" s="32" t="n"/>
      <c r="I158" s="32" t="inlineStr">
        <is>
          <t>Decided (audit: otherwise the toggle does nothing)</t>
        </is>
      </c>
      <c r="J158" s="32" t="n"/>
      <c r="K158" s="33" t="inlineStr">
        <is>
          <t>2-3</t>
        </is>
      </c>
    </row>
    <row r="159">
      <c r="A159" s="32" t="inlineStr">
        <is>
          <t>R156</t>
        </is>
      </c>
      <c r="B159" s="32" t="inlineStr">
        <is>
          <t>Not started</t>
        </is>
      </c>
      <c r="C159" s="32" t="inlineStr">
        <is>
          <t>Time view</t>
        </is>
      </c>
      <c r="D159" s="32" t="inlineStr">
        <is>
          <t>Toggle</t>
        </is>
      </c>
      <c r="E159" s="32" t="inlineStr">
        <is>
          <t>Always</t>
        </is>
      </c>
      <c r="F159" s="32" t="inlineStr">
        <is>
          <t>One global toggle in the top bar: $ | Hours | FI days; remembered per client</t>
        </is>
      </c>
      <c r="G159" s="32" t="n"/>
      <c r="H159" s="32" t="n"/>
      <c r="I159" s="32" t="inlineStr">
        <is>
          <t>Decided</t>
        </is>
      </c>
      <c r="J159" s="32" t="n"/>
      <c r="K159" s="33" t="inlineStr">
        <is>
          <t>2-3</t>
        </is>
      </c>
    </row>
    <row r="160">
      <c r="A160" s="32" t="inlineStr">
        <is>
          <t>R157</t>
        </is>
      </c>
      <c r="B160" s="32" t="inlineStr">
        <is>
          <t>Not started</t>
        </is>
      </c>
      <c r="C160" s="32" t="inlineStr">
        <is>
          <t>Time view</t>
        </is>
      </c>
      <c r="D160" s="32" t="inlineStr">
        <is>
          <t>Chips</t>
        </is>
      </c>
      <c r="E160" s="32" t="inlineStr">
        <is>
          <t>Toggle on $</t>
        </is>
      </c>
      <c r="F160" s="32" t="inlineStr">
        <is>
          <t>Big amounts (over $50) still show a small grey hours chip</t>
        </is>
      </c>
      <c r="G160" s="32" t="n"/>
      <c r="H160" s="32" t="n"/>
      <c r="I160" s="32" t="inlineStr">
        <is>
          <t>Decided</t>
        </is>
      </c>
      <c r="J160" s="32" t="n"/>
      <c r="K160" s="33" t="inlineStr">
        <is>
          <t>2-3</t>
        </is>
      </c>
    </row>
    <row r="161">
      <c r="A161" s="32" t="inlineStr">
        <is>
          <t>R158</t>
        </is>
      </c>
      <c r="B161" s="32" t="inlineStr">
        <is>
          <t>Not started</t>
        </is>
      </c>
      <c r="C161" s="32" t="inlineStr">
        <is>
          <t>Polish (v4 preview)</t>
        </is>
      </c>
      <c r="D161" s="32" t="inlineStr">
        <is>
          <t>Icons</t>
        </is>
      </c>
      <c r="E161" s="32" t="inlineStr">
        <is>
          <t>Always</t>
        </is>
      </c>
      <c r="F161" s="32" t="inlineStr">
        <is>
          <t>Matching line icons (Lucide style, 2.25 stroke, 18px) for duplicate, reset, delete, undo, redo, find, parking lot, client view, gear, add, close. Never emoji or text symbols</t>
        </is>
      </c>
      <c r="G161" s="32" t="n"/>
      <c r="H161" s="32" t="n"/>
      <c r="I161" s="32" t="inlineStr">
        <is>
          <t>Decided (Oct 28)</t>
        </is>
      </c>
      <c r="J161" s="32" t="n"/>
      <c r="K161" s="33" t="inlineStr">
        <is>
          <t>3</t>
        </is>
      </c>
    </row>
    <row r="162">
      <c r="A162" s="32" t="inlineStr">
        <is>
          <t>R159</t>
        </is>
      </c>
      <c r="B162" s="32" t="inlineStr">
        <is>
          <t>Not started</t>
        </is>
      </c>
      <c r="C162" s="32" t="inlineStr">
        <is>
          <t>Polish (v4 preview)</t>
        </is>
      </c>
      <c r="D162" s="32" t="inlineStr">
        <is>
          <t>Every list screen</t>
        </is>
      </c>
      <c r="E162" s="32" t="inlineStr">
        <is>
          <t>Always</t>
        </is>
      </c>
      <c r="F162" s="32" t="inlineStr">
        <is>
          <t>Summary strip above the list: the 3 to 4 numbers that answer 'so what' (Debt: total, monthly payments, debt-free date, interest left)</t>
        </is>
      </c>
      <c r="G162" s="32" t="n"/>
      <c r="H162" s="32" t="n"/>
      <c r="I162" s="32" t="inlineStr">
        <is>
          <t>Decided (Oct 28)</t>
        </is>
      </c>
      <c r="J162" s="32" t="n"/>
      <c r="K162" s="33" t="inlineStr">
        <is>
          <t>3</t>
        </is>
      </c>
    </row>
    <row r="163">
      <c r="A163" s="32" t="inlineStr">
        <is>
          <t>R160</t>
        </is>
      </c>
      <c r="B163" s="32" t="inlineStr">
        <is>
          <t>Not started</t>
        </is>
      </c>
      <c r="C163" s="32" t="inlineStr">
        <is>
          <t>Polish (v4 preview)</t>
        </is>
      </c>
      <c r="D163" s="32" t="inlineStr">
        <is>
          <t>Numbers in tables</t>
        </is>
      </c>
      <c r="E163" s="32" t="inlineStr">
        <is>
          <t>Always</t>
        </is>
      </c>
      <c r="F163" s="32" t="inlineStr">
        <is>
          <t>Money and percent right-aligned; text left-aligned</t>
        </is>
      </c>
      <c r="G163" s="32" t="n"/>
      <c r="H163" s="32" t="n"/>
      <c r="I163" s="32" t="inlineStr">
        <is>
          <t>Decided (Oct 28)</t>
        </is>
      </c>
      <c r="J163" s="32" t="n"/>
      <c r="K163" s="33" t="inlineStr">
        <is>
          <t>3</t>
        </is>
      </c>
    </row>
    <row r="164">
      <c r="A164" s="32" t="inlineStr">
        <is>
          <t>R161</t>
        </is>
      </c>
      <c r="B164" s="32" t="inlineStr">
        <is>
          <t>Not started</t>
        </is>
      </c>
      <c r="C164" s="32" t="inlineStr">
        <is>
          <t>Polish (v4 preview)</t>
        </is>
      </c>
      <c r="D164" s="32" t="inlineStr">
        <is>
          <t>Debt rows</t>
        </is>
      </c>
      <c r="E164" s="32" t="inlineStr">
        <is>
          <t>Payoff known</t>
        </is>
      </c>
      <c r="F164" s="32" t="inlineStr">
        <is>
          <t>Small bar under the payoff date in the area color; longest payoff = full width</t>
        </is>
      </c>
      <c r="G164" s="32" t="inlineStr">
        <is>
          <t>Payoff unknown: empty bar and 'Needs APR'</t>
        </is>
      </c>
      <c r="H164" s="32" t="n"/>
      <c r="I164" s="32" t="inlineStr">
        <is>
          <t>Decided (Oct 28)</t>
        </is>
      </c>
      <c r="J164" s="32" t="n"/>
      <c r="K164" s="33" t="inlineStr">
        <is>
          <t>3</t>
        </is>
      </c>
    </row>
    <row r="165">
      <c r="A165" s="32" t="inlineStr">
        <is>
          <t>R162</t>
        </is>
      </c>
      <c r="B165" s="32" t="inlineStr">
        <is>
          <t>Not started</t>
        </is>
      </c>
      <c r="C165" s="32" t="inlineStr">
        <is>
          <t>Polish (v4 preview)</t>
        </is>
      </c>
      <c r="D165" s="32" t="inlineStr">
        <is>
          <t>Status tags</t>
        </is>
      </c>
      <c r="E165" s="32" t="inlineStr">
        <is>
          <t>Always</t>
        </is>
      </c>
      <c r="F165" s="32" t="inlineStr">
        <is>
          <t>Each tag carries a symbol as well as a color: ≈ Roughly, ? Guess, ⚠ warning</t>
        </is>
      </c>
      <c r="G165" s="32" t="n"/>
      <c r="H165" s="32" t="n"/>
      <c r="I165" s="32" t="inlineStr">
        <is>
          <t>Decided (Oct 28)</t>
        </is>
      </c>
      <c r="J165" s="32" t="n"/>
      <c r="K165" s="33" t="inlineStr">
        <is>
          <t>3</t>
        </is>
      </c>
    </row>
    <row r="166">
      <c r="A166" s="32" t="inlineStr">
        <is>
          <t>R163</t>
        </is>
      </c>
      <c r="B166" s="32" t="inlineStr">
        <is>
          <t>Not started</t>
        </is>
      </c>
      <c r="C166" s="32" t="inlineStr">
        <is>
          <t>Polish (v4 preview)</t>
        </is>
      </c>
      <c r="D166" s="32" t="inlineStr">
        <is>
          <t>Area color</t>
        </is>
      </c>
      <c r="E166" s="32" t="inlineStr">
        <is>
          <t>Always</t>
        </is>
      </c>
      <c r="F166" s="32" t="inlineStr">
        <is>
          <t>Each area's color shows as a dot on its sub-tab, a 6px stripe on its section title, and in its charts</t>
        </is>
      </c>
      <c r="G166" s="32" t="n"/>
      <c r="H166" s="32" t="n"/>
      <c r="I166" s="32" t="inlineStr">
        <is>
          <t>Decided (Oct 28)</t>
        </is>
      </c>
      <c r="J166" s="32" t="n"/>
      <c r="K166" s="33" t="inlineStr">
        <is>
          <t>3</t>
        </is>
      </c>
    </row>
    <row r="167">
      <c r="A167" s="32" t="inlineStr">
        <is>
          <t>R164</t>
        </is>
      </c>
      <c r="B167" s="32" t="inlineStr">
        <is>
          <t>Not started</t>
        </is>
      </c>
      <c r="C167" s="32" t="inlineStr">
        <is>
          <t>Polish (v4 preview)</t>
        </is>
      </c>
      <c r="D167" s="32" t="inlineStr">
        <is>
          <t>Sub-tab progress</t>
        </is>
      </c>
      <c r="E167" s="32" t="inlineStr">
        <is>
          <t>Always</t>
        </is>
      </c>
      <c r="F167" s="32" t="inlineStr">
        <is>
          <t>Each sub-tab shows a small count (3/4) or ✓ when core is done</t>
        </is>
      </c>
      <c r="G167" s="32" t="n"/>
      <c r="H167" s="32" t="n"/>
      <c r="I167" s="32" t="inlineStr">
        <is>
          <t>Decided (Oct 28)</t>
        </is>
      </c>
      <c r="J167" s="32" t="n"/>
      <c r="K167" s="33" t="inlineStr">
        <is>
          <t>3</t>
        </is>
      </c>
    </row>
    <row r="168">
      <c r="A168" s="32" t="inlineStr">
        <is>
          <t>R165</t>
        </is>
      </c>
      <c r="B168" s="32" t="inlineStr">
        <is>
          <t>Not started</t>
        </is>
      </c>
      <c r="C168" s="32" t="inlineStr">
        <is>
          <t>Polish (v4 preview)</t>
        </is>
      </c>
      <c r="D168" s="32" t="inlineStr">
        <is>
          <t>Input borders</t>
        </is>
      </c>
      <c r="E168" s="32" t="inlineStr">
        <is>
          <t>Box has a value</t>
        </is>
      </c>
      <c r="F168" s="32" t="inlineStr">
        <is>
          <t>Softer border (#8FA2C6)</t>
        </is>
      </c>
      <c r="G168" s="32" t="inlineStr">
        <is>
          <t>Empty: strong 2px border with a hint like 'Add APR'</t>
        </is>
      </c>
      <c r="H168" s="32" t="n"/>
      <c r="I168" s="32" t="inlineStr">
        <is>
          <t>Decided (Oct 28: you said add them all)</t>
        </is>
      </c>
      <c r="J168" s="32" t="n"/>
      <c r="K168" s="33" t="inlineStr">
        <is>
          <t>3</t>
        </is>
      </c>
    </row>
    <row r="169">
      <c r="A169" s="32" t="inlineStr">
        <is>
          <t>R166</t>
        </is>
      </c>
      <c r="B169" s="32" t="inlineStr">
        <is>
          <t>Not started</t>
        </is>
      </c>
      <c r="C169" s="32" t="inlineStr">
        <is>
          <t>Polish (v4 preview)</t>
        </is>
      </c>
      <c r="D169" s="32" t="inlineStr">
        <is>
          <t>Saved moment</t>
        </is>
      </c>
      <c r="E169" s="32" t="inlineStr">
        <is>
          <t>A value changes</t>
        </is>
      </c>
      <c r="F169" s="32" t="inlineStr">
        <is>
          <t>Row flashes soft green for under a second and '✓ Saved' shows near the main button</t>
        </is>
      </c>
      <c r="G169" s="32" t="n"/>
      <c r="H169" s="32" t="n"/>
      <c r="I169" s="32" t="inlineStr">
        <is>
          <t>Decided (Oct 28)</t>
        </is>
      </c>
      <c r="J169" s="32" t="n"/>
      <c r="K169" s="33" t="inlineStr">
        <is>
          <t>3</t>
        </is>
      </c>
    </row>
    <row r="170">
      <c r="A170" s="32" t="inlineStr">
        <is>
          <t>R167</t>
        </is>
      </c>
      <c r="B170" s="32" t="inlineStr">
        <is>
          <t>Not started</t>
        </is>
      </c>
      <c r="C170" s="32" t="inlineStr">
        <is>
          <t>Polish (v4 preview)</t>
        </is>
      </c>
      <c r="D170" s="32" t="inlineStr">
        <is>
          <t>Sticky</t>
        </is>
      </c>
      <c r="E170" s="32" t="inlineStr">
        <is>
          <t>Scrolling</t>
        </is>
      </c>
      <c r="F170" s="32" t="inlineStr">
        <is>
          <t>Top bar stays at the top of the page; column names and the totals row stay inside long lists</t>
        </is>
      </c>
      <c r="G170" s="32" t="n"/>
      <c r="H170" s="32" t="n"/>
      <c r="I170" s="32" t="inlineStr">
        <is>
          <t>Decided (Oct 28)</t>
        </is>
      </c>
      <c r="J170" s="32" t="n"/>
      <c r="K170" s="33" t="inlineStr">
        <is>
          <t>3</t>
        </is>
      </c>
    </row>
    <row r="171">
      <c r="A171" s="32" t="inlineStr">
        <is>
          <t>R168</t>
        </is>
      </c>
      <c r="B171" s="32" t="inlineStr">
        <is>
          <t>Not started</t>
        </is>
      </c>
      <c r="C171" s="32" t="inlineStr">
        <is>
          <t>Polish (v4 preview)</t>
        </is>
      </c>
      <c r="D171" s="32" t="inlineStr">
        <is>
          <t>Show the math</t>
        </is>
      </c>
      <c r="E171" s="32" t="inlineStr">
        <is>
          <t>Click any computed number</t>
        </is>
      </c>
      <c r="F171" s="32" t="inlineStr">
        <is>
          <t>Small panel with the formula filled in with the client's numbers, in plain words</t>
        </is>
      </c>
      <c r="G171" s="32" t="n"/>
      <c r="H171" s="32" t="n"/>
      <c r="I171" s="32" t="inlineStr">
        <is>
          <t>Decided (Oct 28)</t>
        </is>
      </c>
      <c r="J171" s="32" t="n"/>
      <c r="K171" s="33" t="inlineStr">
        <is>
          <t>3</t>
        </is>
      </c>
    </row>
    <row r="172">
      <c r="A172" s="32" t="inlineStr">
        <is>
          <t>R169</t>
        </is>
      </c>
      <c r="B172" s="32" t="inlineStr">
        <is>
          <t>Not started</t>
        </is>
      </c>
      <c r="C172" s="32" t="inlineStr">
        <is>
          <t>Polish (v4 preview)</t>
        </is>
      </c>
      <c r="D172" s="32" t="inlineStr">
        <is>
          <t>Change since last session</t>
        </is>
      </c>
      <c r="E172" s="32" t="inlineStr">
        <is>
          <t>A snapshot exists</t>
        </is>
      </c>
      <c r="F172" s="32" t="inlineStr">
        <is>
          <t>▲ or ▼ with the difference under key numbers (summary strips, net worth, savings rate)</t>
        </is>
      </c>
      <c r="G172" s="32" t="inlineStr">
        <is>
          <t>No snapshot: nothing shown</t>
        </is>
      </c>
      <c r="H172" s="32" t="n"/>
      <c r="I172" s="32" t="inlineStr">
        <is>
          <t>Decided (Oct 28)</t>
        </is>
      </c>
      <c r="J172" s="32" t="n"/>
      <c r="K172" s="33" t="inlineStr">
        <is>
          <t>3</t>
        </is>
      </c>
    </row>
    <row r="173">
      <c r="A173" s="32" t="inlineStr">
        <is>
          <t>R170</t>
        </is>
      </c>
      <c r="B173" s="32" t="inlineStr">
        <is>
          <t>Not started</t>
        </is>
      </c>
      <c r="C173" s="32" t="inlineStr">
        <is>
          <t>Polish (v4 preview)</t>
        </is>
      </c>
      <c r="D173" s="32" t="inlineStr">
        <is>
          <t>Keyboard</t>
        </is>
      </c>
      <c r="E173" s="32" t="inlineStr">
        <is>
          <t>Always</t>
        </is>
      </c>
      <c r="F173" s="32" t="inlineStr">
        <is>
          <t>Tab = next box, Enter in a row = new row below, Ctrl+Z = undo, Ctrl+Shift+Z = redo, / = Find. Shown as a small hint line under each list</t>
        </is>
      </c>
      <c r="G173" s="32" t="n"/>
      <c r="H173" s="32" t="n"/>
      <c r="I173" s="32" t="inlineStr">
        <is>
          <t>Decided (Oct 28)</t>
        </is>
      </c>
      <c r="J173" s="32" t="n"/>
      <c r="K173" s="33" t="inlineStr">
        <is>
          <t>3</t>
        </is>
      </c>
    </row>
    <row r="174">
      <c r="A174" s="32" t="inlineStr">
        <is>
          <t>R171</t>
        </is>
      </c>
      <c r="B174" s="32" t="inlineStr">
        <is>
          <t>Not started</t>
        </is>
      </c>
      <c r="C174" s="32" t="inlineStr">
        <is>
          <t>Polish (v4 preview)</t>
        </is>
      </c>
      <c r="D174" s="32" t="inlineStr">
        <is>
          <t>Density</t>
        </is>
      </c>
      <c r="E174" s="32" t="inlineStr">
        <is>
          <t>Settings</t>
        </is>
      </c>
      <c r="F174" s="32" t="inlineStr">
        <is>
          <t>Compact (36px rows) or Comfortable (44px, default); remembered</t>
        </is>
      </c>
      <c r="G174" s="32" t="n"/>
      <c r="H174" s="32" t="n"/>
      <c r="I174" s="32" t="inlineStr">
        <is>
          <t>Decided (Oct 28)</t>
        </is>
      </c>
      <c r="J174" s="32" t="n"/>
      <c r="K174" s="33" t="inlineStr">
        <is>
          <t>3</t>
        </is>
      </c>
    </row>
    <row r="175">
      <c r="A175" s="32" t="inlineStr">
        <is>
          <t>R172</t>
        </is>
      </c>
      <c r="B175" s="32" t="inlineStr">
        <is>
          <t>Not started</t>
        </is>
      </c>
      <c r="C175" s="32" t="inlineStr">
        <is>
          <t>Polish (v4 preview)</t>
        </is>
      </c>
      <c r="D175" s="32" t="inlineStr">
        <is>
          <t>Client view</t>
        </is>
      </c>
      <c r="E175" s="32" t="inlineStr">
        <is>
          <t>On</t>
        </is>
      </c>
      <c r="F175" s="32" t="inlineStr">
        <is>
          <t>Text 15% bigger, plus the hiding rules already in Visibility</t>
        </is>
      </c>
      <c r="G175" s="32" t="n"/>
      <c r="H175" s="32" t="n"/>
      <c r="I175" s="32" t="inlineStr">
        <is>
          <t>Decided (Oct 28)</t>
        </is>
      </c>
      <c r="J175" s="32" t="n"/>
      <c r="K175" s="33" t="inlineStr">
        <is>
          <t>3</t>
        </is>
      </c>
    </row>
    <row r="176">
      <c r="A176" s="32" t="inlineStr">
        <is>
          <t>R173</t>
        </is>
      </c>
      <c r="B176" s="32" t="inlineStr">
        <is>
          <t>Not started</t>
        </is>
      </c>
      <c r="C176" s="32" t="inlineStr">
        <is>
          <t>Polish (v4 preview)</t>
        </is>
      </c>
      <c r="D176" s="32" t="inlineStr">
        <is>
          <t>Long lists</t>
        </is>
      </c>
      <c r="E176" s="32" t="inlineStr">
        <is>
          <t>More than one type in a list</t>
        </is>
      </c>
      <c r="F176" s="32" t="inlineStr">
        <is>
          <t>Group headers (Credit cards, Loans, Other) with subtotals; click to fold</t>
        </is>
      </c>
      <c r="G176" s="32" t="n"/>
      <c r="H176" s="32" t="n"/>
      <c r="I176" s="32" t="inlineStr">
        <is>
          <t>Decided (Oct 28)</t>
        </is>
      </c>
      <c r="J176" s="32" t="n"/>
      <c r="K176" s="33" t="inlineStr">
        <is>
          <t>3</t>
        </is>
      </c>
    </row>
    <row r="177">
      <c r="A177" s="32" t="inlineStr">
        <is>
          <t>R174</t>
        </is>
      </c>
      <c r="B177" s="32" t="inlineStr">
        <is>
          <t>Not started</t>
        </is>
      </c>
      <c r="C177" s="32" t="inlineStr">
        <is>
          <t>Polish (v4 preview)</t>
        </is>
      </c>
      <c r="D177" s="32" t="inlineStr">
        <is>
          <t>Totals row</t>
        </is>
      </c>
      <c r="E177" s="32" t="inlineStr">
        <is>
          <t>Every list</t>
        </is>
      </c>
      <c r="F177" s="32" t="inlineStr">
        <is>
          <t>Pinned at the bottom: count, total balance, total monthly</t>
        </is>
      </c>
      <c r="G177" s="32" t="n"/>
      <c r="H177" s="32" t="n"/>
      <c r="I177" s="32" t="inlineStr">
        <is>
          <t>Decided (Oct 28)</t>
        </is>
      </c>
      <c r="J177" s="32" t="n"/>
      <c r="K177" s="33" t="inlineStr">
        <is>
          <t>3</t>
        </is>
      </c>
    </row>
    <row r="178">
      <c r="A178" s="32" t="inlineStr">
        <is>
          <t>R175</t>
        </is>
      </c>
      <c r="B178" s="32" t="inlineStr">
        <is>
          <t>Not started</t>
        </is>
      </c>
      <c r="C178" s="32" t="inlineStr">
        <is>
          <t>Polish (v4 preview)</t>
        </is>
      </c>
      <c r="D178" s="32" t="inlineStr">
        <is>
          <t>Print</t>
        </is>
      </c>
      <c r="E178" s="32" t="inlineStr">
        <is>
          <t>One-pager or any screen printed or saved as PDF</t>
        </is>
      </c>
      <c r="F178" s="32" t="inlineStr">
        <is>
          <t>No buttons, no dark backgrounds, solid lines, black text</t>
        </is>
      </c>
      <c r="G178" s="32" t="n"/>
      <c r="H178" s="32" t="n"/>
      <c r="I178" s="32" t="inlineStr">
        <is>
          <t>Decided (Oct 28)</t>
        </is>
      </c>
      <c r="J178" s="32" t="n"/>
      <c r="K178" s="33" t="inlineStr">
        <is>
          <t>3</t>
        </is>
      </c>
    </row>
    <row r="179">
      <c r="A179" s="32" t="inlineStr">
        <is>
          <t>R176</t>
        </is>
      </c>
      <c r="B179" s="32" t="inlineStr">
        <is>
          <t>Not started</t>
        </is>
      </c>
      <c r="C179" s="32" t="inlineStr">
        <is>
          <t>Polish (v4 preview)</t>
        </is>
      </c>
      <c r="D179" s="32" t="inlineStr">
        <is>
          <t>Reference look</t>
        </is>
      </c>
      <c r="E179" s="32" t="inlineStr">
        <is>
          <t>Always</t>
        </is>
      </c>
      <c r="F179" s="32" t="inlineStr">
        <is>
          <t>spec/SLAM Look Preview.html is the visual reference; match it</t>
        </is>
      </c>
      <c r="G179" s="32" t="n"/>
      <c r="H179" s="32" t="n"/>
      <c r="I179" s="32" t="inlineStr">
        <is>
          <t>Decided (Oct 28)</t>
        </is>
      </c>
      <c r="J179" s="32" t="n"/>
      <c r="K179" s="33" t="inlineStr">
        <is>
          <t>3</t>
        </is>
      </c>
    </row>
    <row r="180">
      <c r="A180" s="32" t="inlineStr">
        <is>
          <t>R177</t>
        </is>
      </c>
      <c r="B180" s="32" t="inlineStr">
        <is>
          <t>Not started</t>
        </is>
      </c>
      <c r="C180" s="32" t="inlineStr">
        <is>
          <t>Couples</t>
        </is>
      </c>
      <c r="D180" s="32" t="inlineStr">
        <is>
          <t>Owner</t>
        </is>
      </c>
      <c r="E180" s="32" t="inlineStr">
        <is>
          <t>Couple</t>
        </is>
      </c>
      <c r="F180" s="32" t="inlineStr">
        <is>
          <t>Every row has Owner: me, partner, joint; joint counts for both</t>
        </is>
      </c>
      <c r="G180" s="32" t="n"/>
      <c r="H180" s="32" t="n"/>
      <c r="I180" s="32" t="inlineStr">
        <is>
          <t>Decided</t>
        </is>
      </c>
      <c r="J180" s="32" t="n"/>
      <c r="K180" s="33" t="inlineStr">
        <is>
          <t>1-5</t>
        </is>
      </c>
    </row>
    <row r="181">
      <c r="A181" s="32" t="inlineStr">
        <is>
          <t>R178</t>
        </is>
      </c>
      <c r="B181" s="32" t="inlineStr">
        <is>
          <t>Not started</t>
        </is>
      </c>
      <c r="C181" s="32" t="inlineStr">
        <is>
          <t>Couples</t>
        </is>
      </c>
      <c r="D181" s="32" t="inlineStr">
        <is>
          <t>Totals</t>
        </is>
      </c>
      <c r="E181" s="32" t="inlineStr">
        <is>
          <t>Couple</t>
        </is>
      </c>
      <c r="F181" s="32" t="inlineStr">
        <is>
          <t>Household totals by default; 'Me | Partner | Household' toggle on totals</t>
        </is>
      </c>
      <c r="G181" s="32" t="n"/>
      <c r="H181" s="32" t="n"/>
      <c r="I181" s="32" t="inlineStr">
        <is>
          <t>Decided (accepted Oct 28; was proposed)</t>
        </is>
      </c>
      <c r="J181" s="32" t="n"/>
      <c r="K181" s="33" t="inlineStr">
        <is>
          <t>1-5</t>
        </is>
      </c>
    </row>
    <row r="182">
      <c r="A182" s="32" t="inlineStr">
        <is>
          <t>R179</t>
        </is>
      </c>
      <c r="B182" s="32" t="inlineStr">
        <is>
          <t>Not started</t>
        </is>
      </c>
      <c r="C182" s="32" t="inlineStr">
        <is>
          <t>Couples</t>
        </is>
      </c>
      <c r="D182" s="32" t="inlineStr">
        <is>
          <t>Split</t>
        </is>
      </c>
      <c r="E182" s="32" t="inlineStr">
        <is>
          <t>Joint | Separate | Mix</t>
        </is>
      </c>
      <c r="F182" s="32" t="inlineStr">
        <is>
          <t>Separate: each person's Needs share comes from the split table</t>
        </is>
      </c>
      <c r="G182" s="32" t="n"/>
      <c r="H182" s="32" t="n"/>
      <c r="I182" s="32" t="inlineStr">
        <is>
          <t>Decided (accepted Oct 28; was proposed)</t>
        </is>
      </c>
      <c r="J182" s="32" t="n"/>
      <c r="K182" s="33" t="inlineStr">
        <is>
          <t>1-5</t>
        </is>
      </c>
    </row>
    <row r="183">
      <c r="A183" s="32" t="inlineStr">
        <is>
          <t>R180</t>
        </is>
      </c>
      <c r="B183" s="32" t="inlineStr">
        <is>
          <t>Not started</t>
        </is>
      </c>
      <c r="C183" s="32" t="inlineStr">
        <is>
          <t>Session flow</t>
        </is>
      </c>
      <c r="D183" s="32" t="inlineStr">
        <is>
          <t>Discovery table</t>
        </is>
      </c>
      <c r="E183" s="32" t="inlineStr">
        <is>
          <t>Send to client file</t>
        </is>
      </c>
      <c r="F183" s="32" t="inlineStr">
        <is>
          <t>Creates the client; each number fills its field with status Roughly</t>
        </is>
      </c>
      <c r="G183" s="32" t="n"/>
      <c r="H183" s="32" t="n"/>
      <c r="I183" s="32" t="inlineStr">
        <is>
          <t>Decided (Oct 7)</t>
        </is>
      </c>
      <c r="J183" s="32" t="n"/>
      <c r="K183" s="33" t="inlineStr">
        <is>
          <t>9-10</t>
        </is>
      </c>
    </row>
    <row r="184">
      <c r="A184" s="32" t="inlineStr">
        <is>
          <t>R181</t>
        </is>
      </c>
      <c r="B184" s="32" t="inlineStr">
        <is>
          <t>Not started</t>
        </is>
      </c>
      <c r="C184" s="32" t="inlineStr">
        <is>
          <t>Session flow</t>
        </is>
      </c>
      <c r="D184" s="32" t="inlineStr">
        <is>
          <t>Session end</t>
        </is>
      </c>
      <c r="E184" s="32" t="inlineStr">
        <is>
          <t>End session clicked</t>
        </is>
      </c>
      <c r="F184" s="32" t="inlineStr">
        <is>
          <t>Snapshot saved, one-pager filled, homework list built from Will email</t>
        </is>
      </c>
      <c r="G184" s="32" t="n"/>
      <c r="H184" s="32" t="n"/>
      <c r="I184" s="32" t="inlineStr">
        <is>
          <t>Decided (accepted Oct 28; was proposed)</t>
        </is>
      </c>
      <c r="J184" s="32" t="n"/>
      <c r="K184" s="33" t="inlineStr">
        <is>
          <t>9-10</t>
        </is>
      </c>
    </row>
    <row r="185">
      <c r="A185" s="32" t="inlineStr">
        <is>
          <t>R182</t>
        </is>
      </c>
      <c r="B185" s="32" t="inlineStr">
        <is>
          <t>Not started</t>
        </is>
      </c>
      <c r="C185" s="32" t="inlineStr">
        <is>
          <t>Session flow</t>
        </is>
      </c>
      <c r="D185" s="32" t="inlineStr">
        <is>
          <t>One-pager</t>
        </is>
      </c>
      <c r="E185" s="32" t="inlineStr">
        <is>
          <t>Always</t>
        </is>
      </c>
      <c r="F185" s="32" t="inlineStr">
        <is>
          <t>Includes the disclaimer line</t>
        </is>
      </c>
      <c r="G185" s="32" t="n"/>
      <c r="H185" s="32" t="n"/>
      <c r="I185" s="32" t="inlineStr">
        <is>
          <t>Decided (session gaps)</t>
        </is>
      </c>
      <c r="J185" s="32" t="n"/>
      <c r="K185" s="33" t="inlineStr">
        <is>
          <t>9-10</t>
        </is>
      </c>
    </row>
    <row r="186">
      <c r="A186" s="32" t="inlineStr">
        <is>
          <t>R183</t>
        </is>
      </c>
      <c r="B186" s="32" t="inlineStr">
        <is>
          <t>Not started</t>
        </is>
      </c>
      <c r="C186" s="32" t="inlineStr">
        <is>
          <t>Session flow</t>
        </is>
      </c>
      <c r="D186" s="32" t="inlineStr">
        <is>
          <t>Prep view</t>
        </is>
      </c>
      <c r="E186" s="32" t="inlineStr">
        <is>
          <t>Next session opened</t>
        </is>
      </c>
      <c r="F186" s="32" t="inlineStr">
        <is>
          <t>Shows changes since last snapshot, open homework, numbers due for a check</t>
        </is>
      </c>
      <c r="G186" s="32" t="n"/>
      <c r="H186" s="32" t="n"/>
      <c r="I186" s="32" t="inlineStr">
        <is>
          <t>Decided (session gaps)</t>
        </is>
      </c>
      <c r="J186" s="32" t="n"/>
      <c r="K186" s="33" t="inlineStr">
        <is>
          <t>9-10</t>
        </is>
      </c>
    </row>
    <row r="187">
      <c r="A187" s="32" t="inlineStr">
        <is>
          <t>R184</t>
        </is>
      </c>
      <c r="B187" s="32" t="inlineStr">
        <is>
          <t>Not started</t>
        </is>
      </c>
      <c r="C187" s="32" t="inlineStr">
        <is>
          <t>Copy and look</t>
        </is>
      </c>
      <c r="D187" s="32" t="inlineStr">
        <is>
          <t>All on-screen text</t>
        </is>
      </c>
      <c r="E187" s="32" t="inlineStr">
        <is>
          <t>Always</t>
        </is>
      </c>
      <c r="F187" s="32" t="inlineStr">
        <is>
          <t>Written from the user's side: what it means and what to do, never how the app works</t>
        </is>
      </c>
      <c r="G187" s="32" t="n"/>
      <c r="H187" s="32" t="n"/>
      <c r="I187" s="32" t="inlineStr">
        <is>
          <t>Decided (Oct 25)</t>
        </is>
      </c>
      <c r="J187" s="32" t="n"/>
      <c r="K187" s="33" t="inlineStr">
        <is>
          <t>3</t>
        </is>
      </c>
    </row>
    <row r="188">
      <c r="A188" s="32" t="inlineStr">
        <is>
          <t>R185</t>
        </is>
      </c>
      <c r="B188" s="32" t="inlineStr">
        <is>
          <t>Not started</t>
        </is>
      </c>
      <c r="C188" s="32" t="inlineStr">
        <is>
          <t>Copy and look</t>
        </is>
      </c>
      <c r="D188" s="32" t="inlineStr">
        <is>
          <t>Clickable things</t>
        </is>
      </c>
      <c r="E188" s="32" t="inlineStr">
        <is>
          <t>Always</t>
        </is>
      </c>
      <c r="F188" s="32" t="inlineStr">
        <is>
          <t>Buttons look like buttons, inputs have visible borders, small lift on hover</t>
        </is>
      </c>
      <c r="G188" s="32" t="n"/>
      <c r="H188" s="32" t="n"/>
      <c r="I188" s="32" t="inlineStr">
        <is>
          <t>Decided (Oct)</t>
        </is>
      </c>
      <c r="J188" s="32" t="n"/>
      <c r="K188" s="33" t="inlineStr">
        <is>
          <t>3</t>
        </is>
      </c>
    </row>
    <row r="189">
      <c r="A189" s="32" t="inlineStr">
        <is>
          <t>R186</t>
        </is>
      </c>
      <c r="B189" s="32" t="inlineStr">
        <is>
          <t>Not started</t>
        </is>
      </c>
      <c r="C189" s="32" t="inlineStr">
        <is>
          <t>Copy and look</t>
        </is>
      </c>
      <c r="D189" s="32" t="inlineStr">
        <is>
          <t>Row actions</t>
        </is>
      </c>
      <c r="E189" s="32" t="inlineStr">
        <is>
          <t>Always</t>
        </is>
      </c>
      <c r="F189" s="32" t="inlineStr">
        <is>
          <t>Small icons: ⧉ duplicate, ↺ reset, 🗑 delete, with tooltips, then one 'More ▸' text button. No ⋯ menu</t>
        </is>
      </c>
      <c r="G189" s="32" t="n"/>
      <c r="H189" s="32" t="n"/>
      <c r="I189" s="32" t="inlineStr">
        <is>
          <t>Decided (your comments)</t>
        </is>
      </c>
      <c r="J189" s="32" t="n"/>
      <c r="K189" s="33" t="inlineStr">
        <is>
          <t>3</t>
        </is>
      </c>
    </row>
    <row r="190">
      <c r="A190" s="32" t="inlineStr">
        <is>
          <t>R187</t>
        </is>
      </c>
      <c r="B190" s="32" t="inlineStr">
        <is>
          <t>Not started</t>
        </is>
      </c>
      <c r="C190" s="32" t="inlineStr">
        <is>
          <t>Copy and look</t>
        </is>
      </c>
      <c r="D190" s="32" t="inlineStr">
        <is>
          <t>Durations</t>
        </is>
      </c>
      <c r="E190" s="32" t="inlineStr">
        <is>
          <t>Any payoff or time-to-goal</t>
        </is>
      </c>
      <c r="F190" s="32" t="inlineStr">
        <is>
          <t>Shown in months and a date, never rounded to years</t>
        </is>
      </c>
      <c r="G190" s="32" t="n"/>
      <c r="H190" s="32" t="n"/>
      <c r="I190" s="32" t="inlineStr">
        <is>
          <t>Decided (screen review)</t>
        </is>
      </c>
      <c r="J190" s="32" t="n"/>
      <c r="K190" s="33" t="inlineStr">
        <is>
          <t>3</t>
        </is>
      </c>
    </row>
  </sheetData>
  <autoFilter ref="A3:K190"/>
  <mergeCells count="2">
    <mergeCell ref="A1:J1"/>
    <mergeCell ref="A2:J2"/>
  </mergeCells>
  <dataValidations count="1">
    <dataValidation sqref="B4:B190" showDropDown="0" showInputMessage="0" showErrorMessage="0" allowBlank="1" type="list">
      <formula1>"Not started,Spec'd,Built,Tested"</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24" customWidth="1" min="1" max="1"/>
    <col width="24" customWidth="1" min="3" max="3"/>
  </cols>
  <sheetData>
    <row r="1">
      <c r="A1" s="9" t="inlineStr">
        <is>
          <t>Rule type</t>
        </is>
      </c>
      <c r="B1" s="9" t="inlineStr">
        <is>
          <t>Rules</t>
        </is>
      </c>
      <c r="C1" s="9" t="inlineStr">
        <is>
          <t>Proposed (need your OK)</t>
        </is>
      </c>
    </row>
    <row r="2">
      <c r="A2" s="33" t="inlineStr">
        <is>
          <t>Gate (show only if)</t>
        </is>
      </c>
      <c r="B2" s="33">
        <f>COUNTIF(Rules!C:C,A2)</f>
        <v/>
      </c>
      <c r="C2" s="33">
        <f>COUNTIFS(Rules!C:C,A2,Rules!I:I,"Proposed*")</f>
        <v/>
      </c>
    </row>
    <row r="3">
      <c r="A3" s="33" t="inlineStr">
        <is>
          <t>Default</t>
        </is>
      </c>
      <c r="B3" s="33">
        <f>COUNTIF(Rules!C:C,A3)</f>
        <v/>
      </c>
      <c r="C3" s="33">
        <f>COUNTIFS(Rules!C:C,A3,Rules!I:I,"Proposed*")</f>
        <v/>
      </c>
    </row>
    <row r="4">
      <c r="A4" s="33" t="inlineStr">
        <is>
          <t>Entry</t>
        </is>
      </c>
      <c r="B4" s="33">
        <f>COUNTIF(Rules!C:C,A4)</f>
        <v/>
      </c>
      <c r="C4" s="33">
        <f>COUNTIFS(Rules!C:C,A4,Rules!I:I,"Proposed*")</f>
        <v/>
      </c>
    </row>
    <row r="5">
      <c r="A5" s="33" t="inlineStr">
        <is>
          <t>Status and confidence</t>
        </is>
      </c>
      <c r="B5" s="33">
        <f>COUNTIF(Rules!C:C,A5)</f>
        <v/>
      </c>
      <c r="C5" s="33">
        <f>COUNTIFS(Rules!C:C,A5,Rules!I:I,"Proposed*")</f>
        <v/>
      </c>
    </row>
    <row r="6">
      <c r="A6" s="33" t="inlineStr">
        <is>
          <t>Completion</t>
        </is>
      </c>
      <c r="B6" s="33">
        <f>COUNTIF(Rules!C:C,A6)</f>
        <v/>
      </c>
      <c r="C6" s="33">
        <f>COUNTIFS(Rules!C:C,A6,Rules!I:I,"Proposed*")</f>
        <v/>
      </c>
    </row>
    <row r="7">
      <c r="A7" s="33" t="inlineStr">
        <is>
          <t>Order and priority</t>
        </is>
      </c>
      <c r="B7" s="33">
        <f>COUNTIF(Rules!C:C,A7)</f>
        <v/>
      </c>
      <c r="C7" s="33">
        <f>COUNTIFS(Rules!C:C,A7,Rules!I:I,"Proposed*")</f>
        <v/>
      </c>
    </row>
    <row r="8">
      <c r="A8" s="33" t="inlineStr">
        <is>
          <t>Visibility</t>
        </is>
      </c>
      <c r="B8" s="33">
        <f>COUNTIF(Rules!C:C,A8)</f>
        <v/>
      </c>
      <c r="C8" s="33">
        <f>COUNTIFS(Rules!C:C,A8,Rules!I:I,"Proposed*")</f>
        <v/>
      </c>
    </row>
    <row r="9">
      <c r="A9" s="33" t="inlineStr">
        <is>
          <t>Data safety</t>
        </is>
      </c>
      <c r="B9" s="33">
        <f>COUNTIF(Rules!C:C,A9)</f>
        <v/>
      </c>
      <c r="C9" s="33">
        <f>COUNTIFS(Rules!C:C,A9,Rules!I:I,"Proposed*")</f>
        <v/>
      </c>
    </row>
    <row r="10">
      <c r="A10" s="33" t="inlineStr">
        <is>
          <t>Calendar</t>
        </is>
      </c>
      <c r="B10" s="33">
        <f>COUNTIF(Rules!C:C,A10)</f>
        <v/>
      </c>
      <c r="C10" s="33">
        <f>COUNTIFS(Rules!C:C,A10,Rules!I:I,"Proposed*")</f>
        <v/>
      </c>
    </row>
    <row r="11">
      <c r="A11" s="33" t="inlineStr">
        <is>
          <t>Paid with (bill to card)</t>
        </is>
      </c>
      <c r="B11" s="33">
        <f>COUNTIF(Rules!C:C,A11)</f>
        <v/>
      </c>
      <c r="C11" s="33">
        <f>COUNTIFS(Rules!C:C,A11,Rules!I:I,"Proposed*")</f>
        <v/>
      </c>
    </row>
    <row r="12">
      <c r="A12" s="33" t="inlineStr">
        <is>
          <t>Staples (same everywhere)</t>
        </is>
      </c>
      <c r="B12" s="33">
        <f>COUNTIF(Rules!C:C,A12)</f>
        <v/>
      </c>
      <c r="C12" s="33">
        <f>COUNTIFS(Rules!C:C,A12,Rules!I:I,"Proposed*")</f>
        <v/>
      </c>
    </row>
    <row r="13">
      <c r="A13" s="33" t="inlineStr">
        <is>
          <t>Bulk select</t>
        </is>
      </c>
      <c r="B13" s="33">
        <f>COUNTIF(Rules!C:C,A13)</f>
        <v/>
      </c>
      <c r="C13" s="33">
        <f>COUNTIFS(Rules!C:C,A13,Rules!I:I,"Proposed*")</f>
        <v/>
      </c>
    </row>
    <row r="14">
      <c r="A14" s="33" t="inlineStr">
        <is>
          <t>Data and timing</t>
        </is>
      </c>
      <c r="B14" s="33">
        <f>COUNTIF(Rules!C:C,A14)</f>
        <v/>
      </c>
      <c r="C14" s="33">
        <f>COUNTIFS(Rules!C:C,A14,Rules!I:I,"Proposed*")</f>
        <v/>
      </c>
    </row>
    <row r="15">
      <c r="A15" s="33" t="inlineStr">
        <is>
          <t>Fixed vs variable</t>
        </is>
      </c>
      <c r="B15" s="33">
        <f>COUNTIF(Rules!C:C,A15)</f>
        <v/>
      </c>
      <c r="C15" s="33">
        <f>COUNTIFS(Rules!C:C,A15,Rules!I:I,"Proposed*")</f>
        <v/>
      </c>
    </row>
    <row r="16">
      <c r="A16" s="33" t="inlineStr">
        <is>
          <t>Time view</t>
        </is>
      </c>
      <c r="B16" s="33">
        <f>COUNTIF(Rules!C:C,A16)</f>
        <v/>
      </c>
      <c r="C16" s="33">
        <f>COUNTIFS(Rules!C:C,A16,Rules!I:I,"Proposed*")</f>
        <v/>
      </c>
    </row>
    <row r="17">
      <c r="A17" s="33" t="inlineStr">
        <is>
          <t>Polish (v4 preview)</t>
        </is>
      </c>
      <c r="B17" s="33">
        <f>COUNTIF(Rules!C:C,A17)</f>
        <v/>
      </c>
      <c r="C17" s="33">
        <f>COUNTIFS(Rules!C:C,A17,Rules!I:I,"Proposed*")</f>
        <v/>
      </c>
    </row>
    <row r="18">
      <c r="A18" s="33" t="inlineStr">
        <is>
          <t>Couples</t>
        </is>
      </c>
      <c r="B18" s="33">
        <f>COUNTIF(Rules!C:C,A18)</f>
        <v/>
      </c>
      <c r="C18" s="33">
        <f>COUNTIFS(Rules!C:C,A18,Rules!I:I,"Proposed*")</f>
        <v/>
      </c>
    </row>
    <row r="19">
      <c r="A19" s="33" t="inlineStr">
        <is>
          <t>Session flow</t>
        </is>
      </c>
      <c r="B19" s="33">
        <f>COUNTIF(Rules!C:C,A19)</f>
        <v/>
      </c>
      <c r="C19" s="33">
        <f>COUNTIFS(Rules!C:C,A19,Rules!I:I,"Proposed*")</f>
        <v/>
      </c>
    </row>
    <row r="20">
      <c r="A20" s="33" t="inlineStr">
        <is>
          <t>Copy and look</t>
        </is>
      </c>
      <c r="B20" s="33">
        <f>COUNTIF(Rules!C:C,A20)</f>
        <v/>
      </c>
      <c r="C20" s="33">
        <f>COUNTIFS(Rules!C:C,A20,Rules!I:I,"Proposed*")</f>
        <v/>
      </c>
    </row>
    <row r="21">
      <c r="A21" s="12" t="inlineStr">
        <is>
          <t>Total</t>
        </is>
      </c>
      <c r="B21" s="12">
        <f>SUM(B2:B20)</f>
        <v/>
      </c>
      <c r="C21" s="12">
        <f>SUM(C2:C20)</f>
        <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56"/>
  <sheetViews>
    <sheetView workbookViewId="0">
      <pane ySplit="2" topLeftCell="A3" activePane="bottomLeft" state="frozen"/>
      <selection pane="bottomLeft" activeCell="A1" sqref="A1"/>
    </sheetView>
  </sheetViews>
  <sheetFormatPr baseColWidth="8" defaultRowHeight="15"/>
  <cols>
    <col width="6" customWidth="1" min="1" max="1"/>
    <col width="28" customWidth="1" min="2" max="2"/>
    <col width="70" customWidth="1" min="3" max="3"/>
    <col width="30" customWidth="1" min="4" max="4"/>
    <col width="36" customWidth="1" min="5" max="5"/>
    <col width="40" customWidth="1" min="6" max="6"/>
  </cols>
  <sheetData>
    <row r="1">
      <c r="A1" s="1" t="inlineStr">
        <is>
          <t>Math: every computed number</t>
        </is>
      </c>
      <c r="B1" s="2" t="n"/>
      <c r="C1" s="2" t="n"/>
      <c r="D1" s="2" t="n"/>
      <c r="E1" s="2" t="n"/>
      <c r="F1" s="2" t="n"/>
    </row>
    <row r="2">
      <c r="A2" s="3" t="inlineStr">
        <is>
          <t>ID</t>
        </is>
      </c>
      <c r="B2" s="3" t="inlineStr">
        <is>
          <t>Name</t>
        </is>
      </c>
      <c r="C2" s="3" t="inlineStr">
        <is>
          <t>Formula</t>
        </is>
      </c>
      <c r="D2" s="3" t="inlineStr">
        <is>
          <t>Inputs</t>
        </is>
      </c>
      <c r="E2" s="3" t="inlineStr">
        <is>
          <t>When something's missing</t>
        </is>
      </c>
      <c r="F2" s="3" t="inlineStr">
        <is>
          <t>Notes / example</t>
        </is>
      </c>
    </row>
    <row r="3">
      <c r="A3" s="5" t="inlineStr">
        <is>
          <t>CONVENTIONS</t>
        </is>
      </c>
      <c r="B3" s="6" t="n"/>
      <c r="C3" s="6" t="n"/>
      <c r="D3" s="6" t="n"/>
      <c r="E3" s="6" t="n"/>
      <c r="F3" s="6" t="n"/>
    </row>
    <row r="4">
      <c r="A4" s="4" t="inlineStr">
        <is>
          <t>M00</t>
        </is>
      </c>
      <c r="B4" s="4" t="inlineStr">
        <is>
          <t>Units</t>
        </is>
      </c>
      <c r="C4" s="4" t="inlineStr">
        <is>
          <t>All money stored monthly in today's dollars; rates stored as annual decimals (7% = 0.07)</t>
        </is>
      </c>
      <c r="D4" s="4" t="inlineStr"/>
      <c r="E4" s="4" t="inlineStr"/>
      <c r="F4" s="4" t="inlineStr">
        <is>
          <t>Engine works in real dollars; nominal is a display toggle</t>
        </is>
      </c>
    </row>
    <row r="5">
      <c r="A5" s="4" t="inlineStr">
        <is>
          <t>M01</t>
        </is>
      </c>
      <c r="B5" s="4" t="inlineStr">
        <is>
          <t>Monthly from any period</t>
        </is>
      </c>
      <c r="C5" s="4" t="inlineStr">
        <is>
          <t>weekly × 52/12; every 2 weeks × 26/12; twice a month × 2; yearly / 12; per paycheck uses pay frequency</t>
        </is>
      </c>
      <c r="D5" s="4" t="inlineStr">
        <is>
          <t>amount, period</t>
        </is>
      </c>
      <c r="E5" s="4" t="inlineStr">
        <is>
          <t>Missing period → treat as monthly and mark Roughly</t>
        </is>
      </c>
      <c r="F5" s="4" t="inlineStr"/>
    </row>
    <row r="6">
      <c r="A6" s="4" t="inlineStr">
        <is>
          <t>M02</t>
        </is>
      </c>
      <c r="B6" s="4" t="inlineStr">
        <is>
          <t>Real return</t>
        </is>
      </c>
      <c r="C6" s="4" t="inlineStr">
        <is>
          <t>Return presets are already after inflation: 6%, 7%, 8% are real returns. 12% is the hopeful optimistic case with no inflation taken out</t>
        </is>
      </c>
      <c r="D6" s="4" t="inlineStr">
        <is>
          <t>return preset</t>
        </is>
      </c>
      <c r="E6" s="4" t="inlineStr"/>
      <c r="F6" s="4" t="inlineStr">
        <is>
          <t>Inflation (2% or 3%) is used only for the nominal display toggle, Social Security and debt in today's dollars</t>
        </is>
      </c>
    </row>
    <row r="7">
      <c r="A7" s="5" t="inlineStr">
        <is>
          <t>INCOME AND TAXES</t>
        </is>
      </c>
      <c r="B7" s="6" t="n"/>
      <c r="C7" s="6" t="n"/>
      <c r="D7" s="6" t="n"/>
      <c r="E7" s="6" t="n"/>
      <c r="F7" s="6" t="n"/>
    </row>
    <row r="8">
      <c r="A8" s="4" t="inlineStr">
        <is>
          <t>M10</t>
        </is>
      </c>
      <c r="B8" s="4" t="inlineStr">
        <is>
          <t>Federal income tax</t>
        </is>
      </c>
      <c r="C8" s="4" t="inlineStr">
        <is>
          <t>Taxable = annual gross − pretax deductions − standard deduction (floor 0); apply brackets from Reference data</t>
        </is>
      </c>
      <c r="D8" s="4" t="inlineStr">
        <is>
          <t>gross, pretax deductions, filing status, year</t>
        </is>
      </c>
      <c r="E8" s="4" t="inlineStr">
        <is>
          <t>No filing status → Single (solo) or Married jointly (couple)</t>
        </is>
      </c>
      <c r="F8" s="4" t="inlineStr">
        <is>
          <t>v1 is federal plus FICA only</t>
        </is>
      </c>
    </row>
    <row r="9">
      <c r="A9" s="4" t="inlineStr">
        <is>
          <t>M11</t>
        </is>
      </c>
      <c r="B9" s="4" t="inlineStr">
        <is>
          <t>FICA</t>
        </is>
      </c>
      <c r="C9" s="4" t="inlineStr">
        <is>
          <t>6.2% Social Security up to the wage base + 1.45% Medicare (+0.9% over $200k single)</t>
        </is>
      </c>
      <c r="D9" s="4" t="inlineStr">
        <is>
          <t>gross, year</t>
        </is>
      </c>
      <c r="E9" s="4" t="inlineStr"/>
      <c r="F9" s="4" t="inlineStr">
        <is>
          <t>Self-employed: 15.3% on 92.35% of net earnings, half deductible</t>
        </is>
      </c>
    </row>
    <row r="10">
      <c r="A10" s="4" t="inlineStr">
        <is>
          <t>M12</t>
        </is>
      </c>
      <c r="B10" s="4" t="inlineStr">
        <is>
          <t>Take-home from gross</t>
        </is>
      </c>
      <c r="C10" s="4" t="inlineStr">
        <is>
          <t>gross − federal tax − FICA − pretax deductions (− state when added later)</t>
        </is>
      </c>
      <c r="D10" s="4" t="inlineStr">
        <is>
          <t>M10, M11</t>
        </is>
      </c>
      <c r="E10" s="4" t="inlineStr"/>
      <c r="F10" s="4" t="inlineStr"/>
    </row>
    <row r="11">
      <c r="A11" s="4" t="inlineStr">
        <is>
          <t>M13</t>
        </is>
      </c>
      <c r="B11" s="4" t="inlineStr">
        <is>
          <t>Gross from take-home</t>
        </is>
      </c>
      <c r="C11" s="4" t="inlineStr">
        <is>
          <t>Solve M12 backwards by bisection to the nearest $1</t>
        </is>
      </c>
      <c r="D11" s="4" t="inlineStr">
        <is>
          <t>take-home, deductions</t>
        </is>
      </c>
      <c r="E11" s="4" t="inlineStr"/>
      <c r="F11" s="4" t="inlineStr">
        <is>
          <t>Marked Computed</t>
        </is>
      </c>
    </row>
    <row r="12">
      <c r="A12" s="4" t="inlineStr">
        <is>
          <t>M14</t>
        </is>
      </c>
      <c r="B12" s="4" t="inlineStr">
        <is>
          <t>Effective and marginal tax rate</t>
        </is>
      </c>
      <c r="C12" s="4" t="inlineStr">
        <is>
          <t>Effective = (federal + FICA) / gross. Marginal = bracket of the last dollar + FICA rate</t>
        </is>
      </c>
      <c r="D12" s="4" t="inlineStr">
        <is>
          <t>M10, M11</t>
        </is>
      </c>
      <c r="E12" s="4" t="inlineStr"/>
      <c r="F12" s="4" t="inlineStr"/>
    </row>
    <row r="13">
      <c r="A13" s="4" t="inlineStr">
        <is>
          <t>M15</t>
        </is>
      </c>
      <c r="B13" s="4" t="inlineStr">
        <is>
          <t>Employer match ($/yr)</t>
        </is>
      </c>
      <c r="C13" s="4" t="inlineStr">
        <is>
          <t>min(contribution %, match cap %) × match % × gross</t>
        </is>
      </c>
      <c r="D13" s="4" t="inlineStr">
        <is>
          <t>401(k) %, match formula, gross</t>
        </is>
      </c>
      <c r="E13" s="4" t="inlineStr"/>
      <c r="F13" s="4" t="inlineStr">
        <is>
          <t>Unvested part shown separately</t>
        </is>
      </c>
    </row>
    <row r="14">
      <c r="A14" s="4" t="inlineStr">
        <is>
          <t>M16</t>
        </is>
      </c>
      <c r="B14" s="4" t="inlineStr">
        <is>
          <t>Variable income safe budget</t>
        </is>
      </c>
      <c r="C14" s="4" t="inlineStr">
        <is>
          <t>lowest month × (1 − tax set-aside %)</t>
        </is>
      </c>
      <c r="D14" s="4" t="inlineStr">
        <is>
          <t>lowest month, set-aside</t>
        </is>
      </c>
      <c r="E14" s="4" t="inlineStr">
        <is>
          <t>Missing lowest month → typical month × 0.75, marked Guess</t>
        </is>
      </c>
      <c r="F14" s="4" t="inlineStr"/>
    </row>
    <row r="15">
      <c r="A15" s="4" t="inlineStr">
        <is>
          <t>M17</t>
        </is>
      </c>
      <c r="B15" s="4" t="inlineStr">
        <is>
          <t>Real hourly wage</t>
        </is>
      </c>
      <c r="C15" s="4" t="inlineStr">
        <is>
          <t>(take-home − work costs) / (paid hours + commute + prep hours), monthly</t>
        </is>
      </c>
      <c r="D15" s="4" t="inlineStr">
        <is>
          <t>income, work costs, hours</t>
        </is>
      </c>
      <c r="E15" s="4" t="inlineStr">
        <is>
          <t>Missing hours → show 'needs hours' instead of a number</t>
        </is>
      </c>
      <c r="F15" s="4" t="inlineStr"/>
    </row>
    <row r="16">
      <c r="A16" s="5" t="inlineStr">
        <is>
          <t>SPENDING</t>
        </is>
      </c>
      <c r="B16" s="6" t="n"/>
      <c r="C16" s="6" t="n"/>
      <c r="D16" s="6" t="n"/>
      <c r="E16" s="6" t="n"/>
      <c r="F16" s="6" t="n"/>
    </row>
    <row r="17">
      <c r="A17" s="4" t="inlineStr">
        <is>
          <t>M20</t>
        </is>
      </c>
      <c r="B17" s="4" t="inlineStr">
        <is>
          <t>Line monthly amount</t>
        </is>
      </c>
      <c r="C17" s="4" t="inlineStr">
        <is>
          <t>M01 applied to each line; accrual view spreads prepaid and yearly costs across months covered</t>
        </is>
      </c>
      <c r="D17" s="4" t="inlineStr">
        <is>
          <t>line amount, period, covers</t>
        </is>
      </c>
      <c r="E17" s="4" t="inlineStr"/>
      <c r="F17" s="4" t="inlineStr"/>
    </row>
    <row r="18">
      <c r="A18" s="4" t="inlineStr">
        <is>
          <t>M21</t>
        </is>
      </c>
      <c r="B18" s="4" t="inlineStr">
        <is>
          <t>My share</t>
        </is>
      </c>
      <c r="C18" s="4" t="inlineStr">
        <is>
          <t>If 'my share' typed → use it. Else amount × (1 − covered %) / split by</t>
        </is>
      </c>
      <c r="D18" s="4" t="inlineStr">
        <is>
          <t>amount, who pays, covered, split</t>
        </is>
      </c>
      <c r="E18" s="4" t="inlineStr">
        <is>
          <t>Split by defaults to roommates + 1</t>
        </is>
      </c>
      <c r="F18" s="4" t="inlineStr"/>
    </row>
    <row r="19">
      <c r="A19" s="4" t="inlineStr">
        <is>
          <t>M22</t>
        </is>
      </c>
      <c r="B19" s="4" t="inlineStr">
        <is>
          <t>Support received</t>
        </is>
      </c>
      <c r="C19" s="4" t="inlineStr">
        <is>
          <t>Σ (amount − my share) where covered by someone else</t>
        </is>
      </c>
      <c r="D19" s="4" t="inlineStr">
        <is>
          <t>M21 across lines</t>
        </is>
      </c>
      <c r="E19" s="4" t="inlineStr"/>
      <c r="F19" s="4" t="inlineStr">
        <is>
          <t>Shown on Report; 'what if it stops' = this added to spending</t>
        </is>
      </c>
    </row>
    <row r="20">
      <c r="A20" s="4" t="inlineStr">
        <is>
          <t>M23</t>
        </is>
      </c>
      <c r="B20" s="4" t="inlineStr">
        <is>
          <t>Fixed floor</t>
        </is>
      </c>
      <c r="C20" s="4" t="inlineStr">
        <is>
          <t>Σ my share of lines with Amount = Fixed</t>
        </is>
      </c>
      <c r="D20" s="4" t="inlineStr">
        <is>
          <t>M21</t>
        </is>
      </c>
      <c r="E20" s="4" t="inlineStr"/>
      <c r="F20" s="4" t="inlineStr">
        <is>
          <t>Feeds runway and Lean FI</t>
        </is>
      </c>
    </row>
    <row r="21">
      <c r="A21" s="4" t="inlineStr">
        <is>
          <t>M24</t>
        </is>
      </c>
      <c r="B21" s="4" t="inlineStr">
        <is>
          <t>Irregular set-aside</t>
        </is>
      </c>
      <c r="C21" s="4" t="inlineStr">
        <is>
          <t>yearly cost / 12</t>
        </is>
      </c>
      <c r="D21" s="4" t="inlineStr">
        <is>
          <t>yearly cost</t>
        </is>
      </c>
      <c r="E21" s="4" t="inlineStr"/>
      <c r="F21" s="4" t="inlineStr"/>
    </row>
    <row r="22">
      <c r="A22" s="4" t="inlineStr">
        <is>
          <t>M25</t>
        </is>
      </c>
      <c r="B22" s="4" t="inlineStr">
        <is>
          <t>Estimate vs actual</t>
        </is>
      </c>
      <c r="C22" s="4" t="inlineStr">
        <is>
          <t>difference = actual − estimate; % = difference / estimate</t>
        </is>
      </c>
      <c r="D22" s="4" t="inlineStr">
        <is>
          <t>estimate, actual</t>
        </is>
      </c>
      <c r="E22" s="4" t="inlineStr">
        <is>
          <t>Estimate 0 → show $ only</t>
        </is>
      </c>
      <c r="F22" s="4" t="inlineStr"/>
    </row>
    <row r="23">
      <c r="A23" s="4" t="inlineStr">
        <is>
          <t>M26</t>
        </is>
      </c>
      <c r="B23" s="4" t="inlineStr">
        <is>
          <t>Gut accuracy</t>
        </is>
      </c>
      <c r="C23" s="4" t="inlineStr">
        <is>
          <t>Average of |actual − Gut or Rough| / actual across months, per line and overall</t>
        </is>
      </c>
      <c r="D23" s="4" t="inlineStr">
        <is>
          <t>history</t>
        </is>
      </c>
      <c r="E23" s="4" t="inlineStr">
        <is>
          <t>Fewer than 1 closed month → hidden</t>
        </is>
      </c>
      <c r="F23" s="4" t="inlineStr"/>
    </row>
    <row r="24">
      <c r="A24" s="4" t="inlineStr">
        <is>
          <t>M27</t>
        </is>
      </c>
      <c r="B24" s="4" t="inlineStr">
        <is>
          <t>Monthly surplus</t>
        </is>
      </c>
      <c r="C24" s="4" t="inlineStr">
        <is>
          <t>take-home − total my-share spending − debt payments not already in spending</t>
        </is>
      </c>
      <c r="D24" s="4" t="inlineStr">
        <is>
          <t>M12, M21, debts</t>
        </is>
      </c>
      <c r="E24" s="4" t="inlineStr"/>
      <c r="F24" s="4" t="inlineStr"/>
    </row>
    <row r="25">
      <c r="A25" s="4" t="inlineStr">
        <is>
          <t>M28</t>
        </is>
      </c>
      <c r="B25" s="4" t="inlineStr">
        <is>
          <t>Savings rate (headline)</t>
        </is>
      </c>
      <c r="C25" s="4" t="inlineStr">
        <is>
          <t>(surplus + after-tax savings in the budget) / take-home</t>
        </is>
      </c>
      <c r="D25" s="4" t="inlineStr">
        <is>
          <t>M27</t>
        </is>
      </c>
      <c r="E25" s="4" t="inlineStr"/>
      <c r="F25" s="4" t="inlineStr">
        <is>
          <t>Gross version in Show the math: (all saving incl. pretax and match) / gross</t>
        </is>
      </c>
    </row>
    <row r="26">
      <c r="A26" s="4" t="inlineStr">
        <is>
          <t>M29</t>
        </is>
      </c>
      <c r="B26" s="4" t="inlineStr">
        <is>
          <t>DRAFTT shares</t>
        </is>
      </c>
      <c r="C26" s="4" t="inlineStr">
        <is>
          <t>Each letter's total / take-home; Taxes and Therapy optional</t>
        </is>
      </c>
      <c r="D26" s="4" t="inlineStr">
        <is>
          <t>lines tagged by letter</t>
        </is>
      </c>
      <c r="E26" s="4" t="inlineStr"/>
      <c r="F26" s="4" t="inlineStr">
        <is>
          <t>Proportions only, no verdict colors</t>
        </is>
      </c>
    </row>
    <row r="27">
      <c r="A27" s="4" t="inlineStr">
        <is>
          <t>M2A</t>
        </is>
      </c>
      <c r="B27" s="4" t="inlineStr">
        <is>
          <t>Housing %</t>
        </is>
      </c>
      <c r="C27" s="4" t="inlineStr">
        <is>
          <t>housing my-share / take-home</t>
        </is>
      </c>
      <c r="D27" s="4" t="inlineStr">
        <is>
          <t>rent or mortgage, utilities</t>
        </is>
      </c>
      <c r="E27" s="4" t="inlineStr"/>
      <c r="F27" s="4" t="inlineStr">
        <is>
          <t>Reference line at 35%</t>
        </is>
      </c>
    </row>
    <row r="28">
      <c r="A28" s="4" t="inlineStr">
        <is>
          <t>M2B</t>
        </is>
      </c>
      <c r="B28" s="4" t="inlineStr">
        <is>
          <t>Accrual spread and prepaid balance</t>
        </is>
      </c>
      <c r="C28" s="4" t="inlineStr">
        <is>
          <t>monthly = amount / months covered; prepaid left = amount − monthly × months elapsed</t>
        </is>
      </c>
      <c r="D28" s="4" t="inlineStr">
        <is>
          <t>amount, date paid, months covered</t>
        </is>
      </c>
      <c r="E28" s="4" t="inlineStr"/>
      <c r="F28" s="4" t="inlineStr"/>
    </row>
    <row r="29">
      <c r="A29" s="5" t="inlineStr">
        <is>
          <t>DEBT</t>
        </is>
      </c>
      <c r="B29" s="6" t="n"/>
      <c r="C29" s="6" t="n"/>
      <c r="D29" s="6" t="n"/>
      <c r="E29" s="6" t="n"/>
      <c r="F29" s="6" t="n"/>
    </row>
    <row r="30">
      <c r="A30" s="4" t="inlineStr">
        <is>
          <t>M30</t>
        </is>
      </c>
      <c r="B30" s="4" t="inlineStr">
        <is>
          <t>Credit card minimum payment</t>
        </is>
      </c>
      <c r="C30" s="4" t="inlineStr">
        <is>
          <t>max($25, 1% of balance + one month's interest), capped at the balance</t>
        </is>
      </c>
      <c r="D30" s="4" t="inlineStr">
        <is>
          <t>balance, APR</t>
        </is>
      </c>
      <c r="E30" s="4" t="inlineStr">
        <is>
          <t>Statement number overrides</t>
        </is>
      </c>
      <c r="F30" s="4" t="inlineStr">
        <is>
          <t>Common issuer formula; confirm</t>
        </is>
      </c>
    </row>
    <row r="31">
      <c r="A31" s="4" t="inlineStr">
        <is>
          <t>M31</t>
        </is>
      </c>
      <c r="B31" s="4" t="inlineStr">
        <is>
          <t>Payoff months</t>
        </is>
      </c>
      <c r="C31" s="4" t="inlineStr">
        <is>
          <t>n = −ln(1 − r·B/P) / ln(1 + r), r = APR/12; round up. 0% → B/P</t>
        </is>
      </c>
      <c r="D31" s="4" t="inlineStr">
        <is>
          <t>balance, APR, payment</t>
        </is>
      </c>
      <c r="E31" s="4" t="inlineStr">
        <is>
          <t>P ≤ r·B → 'This payment never pays it off' and the payment needed</t>
        </is>
      </c>
      <c r="F31" s="4" t="inlineStr">
        <is>
          <t>Sheets: =ROUNDUP(NPER(APR/12, −P, B), 0)</t>
        </is>
      </c>
    </row>
    <row r="32">
      <c r="A32" s="4" t="inlineStr">
        <is>
          <t>M32</t>
        </is>
      </c>
      <c r="B32" s="4" t="inlineStr">
        <is>
          <t>Total interest</t>
        </is>
      </c>
      <c r="C32" s="4" t="inlineStr">
        <is>
          <t>n (unrounded) × P − B</t>
        </is>
      </c>
      <c r="D32" s="4" t="inlineStr">
        <is>
          <t>M31</t>
        </is>
      </c>
      <c r="E32" s="4" t="inlineStr"/>
      <c r="F32" s="4" t="inlineStr">
        <is>
          <t>This formula is the source of truth for one debt. The month-by-month simulation (M34) is only for payoff order with extra payments; it may differ by a few dollars from rounding</t>
        </is>
      </c>
    </row>
    <row r="33">
      <c r="A33" s="4" t="inlineStr">
        <is>
          <t>M33</t>
        </is>
      </c>
      <c r="B33" s="4" t="inlineStr">
        <is>
          <t>Payday or fee APR</t>
        </is>
      </c>
      <c r="C33" s="4" t="inlineStr">
        <is>
          <t>fee / amount borrowed × periods per year</t>
        </is>
      </c>
      <c r="D33" s="4" t="inlineStr">
        <is>
          <t>fee, amount, period</t>
        </is>
      </c>
      <c r="E33" s="4" t="inlineStr"/>
      <c r="F33" s="4" t="inlineStr"/>
    </row>
    <row r="34">
      <c r="A34" s="4" t="inlineStr">
        <is>
          <t>M34</t>
        </is>
      </c>
      <c r="B34" s="4" t="inlineStr">
        <is>
          <t>Payoff order with extra payment</t>
        </is>
      </c>
      <c r="C34" s="4" t="inlineStr">
        <is>
          <t>Simulate monthly: pay minimums, put extra on the first debt in order; when one clears, roll its payment forward</t>
        </is>
      </c>
      <c r="D34" s="4" t="inlineStr">
        <is>
          <t>debts, extra, order</t>
        </is>
      </c>
      <c r="E34" s="4" t="inlineStr"/>
      <c r="F34" s="4" t="inlineStr">
        <is>
          <t>Order: avalanche (APR), snowball (balance), stress (rating, ties by APR)</t>
        </is>
      </c>
    </row>
    <row r="35">
      <c r="A35" s="4" t="inlineStr">
        <is>
          <t>M35</t>
        </is>
      </c>
      <c r="B35" s="4" t="inlineStr">
        <is>
          <t>Utilization</t>
        </is>
      </c>
      <c r="C35" s="4" t="inlineStr">
        <is>
          <t>Σ card balances / Σ limits</t>
        </is>
      </c>
      <c r="D35" s="4" t="inlineStr">
        <is>
          <t>cards</t>
        </is>
      </c>
      <c r="E35" s="4" t="inlineStr">
        <is>
          <t>No limits → hidden</t>
        </is>
      </c>
      <c r="F35" s="4" t="inlineStr"/>
    </row>
    <row r="36">
      <c r="A36" s="4" t="inlineStr">
        <is>
          <t>M36</t>
        </is>
      </c>
      <c r="B36" s="4" t="inlineStr">
        <is>
          <t>Debt-to-income</t>
        </is>
      </c>
      <c r="C36" s="4" t="inlineStr">
        <is>
          <t>monthly debt payments / gross monthly income</t>
        </is>
      </c>
      <c r="D36" s="4" t="inlineStr">
        <is>
          <t>debts, gross</t>
        </is>
      </c>
      <c r="E36" s="4" t="inlineStr"/>
      <c r="F36" s="4" t="inlineStr"/>
    </row>
    <row r="37">
      <c r="A37" s="4" t="inlineStr">
        <is>
          <t>M37</t>
        </is>
      </c>
      <c r="B37" s="4" t="inlineStr">
        <is>
          <t>Promo solver</t>
        </is>
      </c>
      <c r="C37" s="4" t="inlineStr">
        <is>
          <t>Payment needed to clear a 0% balance by the promo end = balance / months left</t>
        </is>
      </c>
      <c r="D37" s="4" t="inlineStr">
        <is>
          <t>balance, promo end</t>
        </is>
      </c>
      <c r="E37" s="4" t="inlineStr"/>
      <c r="F37" s="4" t="inlineStr"/>
    </row>
    <row r="38">
      <c r="A38" s="5" t="inlineStr">
        <is>
          <t>ASSETS AND NET WORTH</t>
        </is>
      </c>
      <c r="B38" s="6" t="n"/>
      <c r="C38" s="6" t="n"/>
      <c r="D38" s="6" t="n"/>
      <c r="E38" s="6" t="n"/>
      <c r="F38" s="6" t="n"/>
    </row>
    <row r="39">
      <c r="A39" s="4" t="inlineStr">
        <is>
          <t>M40</t>
        </is>
      </c>
      <c r="B39" s="4" t="inlineStr">
        <is>
          <t>Total net worth</t>
        </is>
      </c>
      <c r="C39" s="4" t="inlineStr">
        <is>
          <t>Σ assets (vested only) − Σ debts</t>
        </is>
      </c>
      <c r="D39" s="4" t="inlineStr">
        <is>
          <t>all accounts</t>
        </is>
      </c>
      <c r="E39" s="4" t="inlineStr"/>
      <c r="F39" s="4" t="inlineStr"/>
    </row>
    <row r="40">
      <c r="A40" s="4" t="inlineStr">
        <is>
          <t>M41</t>
        </is>
      </c>
      <c r="B40" s="4" t="inlineStr">
        <is>
          <t>Liquid net worth</t>
        </is>
      </c>
      <c r="C40" s="4" t="inlineStr">
        <is>
          <t>cash + taxable brokerage + Roth contribution basis − consumer debt</t>
        </is>
      </c>
      <c r="D40" s="4" t="inlineStr">
        <is>
          <t>accounts, debts</t>
        </is>
      </c>
      <c r="E40" s="4" t="inlineStr"/>
      <c r="F40" s="4" t="inlineStr">
        <is>
          <t>Excludes home, car, retirement growth</t>
        </is>
      </c>
    </row>
    <row r="41">
      <c r="A41" s="4" t="inlineStr">
        <is>
          <t>M42</t>
        </is>
      </c>
      <c r="B41" s="4" t="inlineStr">
        <is>
          <t>Runway months</t>
        </is>
      </c>
      <c r="C41" s="4" t="inlineStr">
        <is>
          <t>liquid cash / monthly spending (also shown vs fixed floor)</t>
        </is>
      </c>
      <c r="D41" s="4" t="inlineStr">
        <is>
          <t>cash, M27</t>
        </is>
      </c>
      <c r="E41" s="4" t="inlineStr"/>
      <c r="F41" s="4" t="inlineStr"/>
    </row>
    <row r="42">
      <c r="A42" s="4" t="inlineStr">
        <is>
          <t>M43</t>
        </is>
      </c>
      <c r="B42" s="4" t="inlineStr">
        <is>
          <t>Rule of 5</t>
        </is>
      </c>
      <c r="C42" s="4" t="inlineStr">
        <is>
          <t>target months = age / 5; target $ = target months × monthly spending; keep-pace add = monthly spending / 60; gap = target − emergency cash</t>
        </is>
      </c>
      <c r="D42" s="4" t="inlineStr">
        <is>
          <t>age, spending, cash</t>
        </is>
      </c>
      <c r="E42" s="4" t="inlineStr"/>
      <c r="F42" s="4" t="inlineStr">
        <is>
          <t>Confirmed Oct 28</t>
        </is>
      </c>
    </row>
    <row r="43">
      <c r="A43" s="4" t="inlineStr">
        <is>
          <t>M44</t>
        </is>
      </c>
      <c r="B43" s="4" t="inlineStr">
        <is>
          <t>Contribution limit used</t>
        </is>
      </c>
      <c r="C43" s="4" t="inlineStr">
        <is>
          <t>year-to-date contributions / limit for that account type and age</t>
        </is>
      </c>
      <c r="D43" s="4" t="inlineStr">
        <is>
          <t>contributions, Reference data</t>
        </is>
      </c>
      <c r="E43" s="4" t="inlineStr"/>
      <c r="F43" s="4" t="inlineStr"/>
    </row>
    <row r="44">
      <c r="A44" s="5" t="inlineStr">
        <is>
          <t>GOALS AND PROJECTION</t>
        </is>
      </c>
      <c r="B44" s="6" t="n"/>
      <c r="C44" s="6" t="n"/>
      <c r="D44" s="6" t="n"/>
      <c r="E44" s="6" t="n"/>
      <c r="F44" s="6" t="n"/>
    </row>
    <row r="45">
      <c r="A45" s="4" t="inlineStr">
        <is>
          <t>M50</t>
        </is>
      </c>
      <c r="B45" s="4" t="inlineStr">
        <is>
          <t>FI number</t>
        </is>
      </c>
      <c r="C45" s="4" t="inlineStr">
        <is>
          <t>annual retirement spending / withdrawal rate</t>
        </is>
      </c>
      <c r="D45" s="4" t="inlineStr">
        <is>
          <t>spending, WR</t>
        </is>
      </c>
      <c r="E45" s="4" t="inlineStr"/>
      <c r="F45" s="4" t="inlineStr">
        <is>
          <t>4% → 25×</t>
        </is>
      </c>
    </row>
    <row r="46">
      <c r="A46" s="4" t="inlineStr">
        <is>
          <t>M51</t>
        </is>
      </c>
      <c r="B46" s="4" t="inlineStr">
        <is>
          <t>Lean FI number</t>
        </is>
      </c>
      <c r="C46" s="4" t="inlineStr">
        <is>
          <t>annual FAT spending / withdrawal rate</t>
        </is>
      </c>
      <c r="D46" s="4" t="inlineStr">
        <is>
          <t>Food, Accommodation, Transportation lines</t>
        </is>
      </c>
      <c r="E46" s="4" t="inlineStr"/>
      <c r="F46" s="4" t="inlineStr"/>
    </row>
    <row r="47">
      <c r="A47" s="4" t="inlineStr">
        <is>
          <t>M52</t>
        </is>
      </c>
      <c r="B47" s="4" t="inlineStr">
        <is>
          <t>Barista FI number</t>
        </is>
      </c>
      <c r="C47" s="4" t="inlineStr">
        <is>
          <t>(annual spending − annual part-time income) / withdrawal rate</t>
        </is>
      </c>
      <c r="D47" s="4" t="inlineStr">
        <is>
          <t>part-time income</t>
        </is>
      </c>
      <c r="E47" s="4" t="inlineStr"/>
      <c r="F47" s="4" t="inlineStr"/>
    </row>
    <row r="48">
      <c r="A48" s="4" t="inlineStr">
        <is>
          <t>M53</t>
        </is>
      </c>
      <c r="B48" s="4" t="inlineStr">
        <is>
          <t>FI date</t>
        </is>
      </c>
      <c r="C48" s="4" t="inlineStr">
        <is>
          <t>Monthly: invested × (1 + real return)^(1/12) + monthly investing; first month invested ≥ FI number</t>
        </is>
      </c>
      <c r="D48" s="4" t="inlineStr">
        <is>
          <t>invested, monthly investing, M02, M50</t>
        </is>
      </c>
      <c r="E48" s="4" t="inlineStr">
        <is>
          <t>Never reached in 70 years → 'not on this path' plus solver</t>
        </is>
      </c>
      <c r="F48" s="4" t="inlineStr">
        <is>
          <t>Monthly investing = surplus to investing + pretax contributions + match</t>
        </is>
      </c>
    </row>
    <row r="49">
      <c r="A49" s="4" t="inlineStr">
        <is>
          <t>M54</t>
        </is>
      </c>
      <c r="B49" s="4" t="inlineStr">
        <is>
          <t>Coast FI</t>
        </is>
      </c>
      <c r="C49" s="4" t="inlineStr">
        <is>
          <t>Coast number at age a = FI number / (1 + real return)^(retire age − a); reached when invested ≥ it. Retire age = FI target age, else 60</t>
        </is>
      </c>
      <c r="D49" s="4" t="inlineStr">
        <is>
          <t>M50, M02, ages</t>
        </is>
      </c>
      <c r="E49" s="4" t="inlineStr"/>
      <c r="F49" s="4" t="inlineStr">
        <is>
          <t>Computed properly, not a fixed multiple</t>
        </is>
      </c>
    </row>
    <row r="50">
      <c r="A50" s="4" t="inlineStr">
        <is>
          <t>M55</t>
        </is>
      </c>
      <c r="B50" s="4" t="inlineStr">
        <is>
          <t>% to each FI</t>
        </is>
      </c>
      <c r="C50" s="4" t="inlineStr">
        <is>
          <t>invested / each FI number</t>
        </is>
      </c>
      <c r="D50" s="4" t="inlineStr">
        <is>
          <t>M50-M54</t>
        </is>
      </c>
      <c r="E50" s="4" t="inlineStr"/>
      <c r="F50" s="4" t="inlineStr"/>
    </row>
    <row r="51">
      <c r="A51" s="4" t="inlineStr">
        <is>
          <t>M56</t>
        </is>
      </c>
      <c r="B51" s="4" t="inlineStr">
        <is>
          <t>These are big deals</t>
        </is>
      </c>
      <c r="C51" s="4" t="inlineStr">
        <is>
          <t>Run M53 once per preset (return, inflation, withdrawal) holding the rest at default; biggest mover = largest date change</t>
        </is>
      </c>
      <c r="D51" s="4" t="inlineStr">
        <is>
          <t>M53</t>
        </is>
      </c>
      <c r="E51" s="4" t="inlineStr"/>
      <c r="F51" s="4" t="inlineStr"/>
    </row>
    <row r="52">
      <c r="A52" s="4" t="inlineStr">
        <is>
          <t>M57</t>
        </is>
      </c>
      <c r="B52" s="4" t="inlineStr">
        <is>
          <t>Solvers</t>
        </is>
      </c>
      <c r="C52" s="4" t="inlineStr">
        <is>
          <t>Bisection on M53 for spending, income or monthly saving that hits FI by a target age</t>
        </is>
      </c>
      <c r="D52" s="4" t="inlineStr">
        <is>
          <t>M53</t>
        </is>
      </c>
      <c r="E52" s="4" t="inlineStr"/>
      <c r="F52" s="4" t="inlineStr"/>
    </row>
    <row r="53">
      <c r="A53" s="4" t="inlineStr">
        <is>
          <t>M58</t>
        </is>
      </c>
      <c r="B53" s="4" t="inlineStr">
        <is>
          <t>Money as time</t>
        </is>
      </c>
      <c r="C53" s="4" t="inlineStr">
        <is>
          <t>hours = amount / real hourly wage; FI days = amount / (annual spending / 365)</t>
        </is>
      </c>
      <c r="D53" s="4" t="inlineStr">
        <is>
          <t>M17, spending</t>
        </is>
      </c>
      <c r="E53" s="4" t="inlineStr"/>
      <c r="F53" s="4" t="inlineStr"/>
    </row>
    <row r="54">
      <c r="A54" s="5" t="inlineStr">
        <is>
          <t>CALENDAR</t>
        </is>
      </c>
      <c r="B54" s="6" t="n"/>
      <c r="C54" s="6" t="n"/>
      <c r="D54" s="6" t="n"/>
      <c r="E54" s="6" t="n"/>
      <c r="F54" s="6" t="n"/>
    </row>
    <row r="55">
      <c r="A55" s="4" t="inlineStr">
        <is>
          <t>M60</t>
        </is>
      </c>
      <c r="B55" s="4" t="inlineStr">
        <is>
          <t>Running balance</t>
        </is>
      </c>
      <c r="C55" s="4" t="inlineStr">
        <is>
          <t>start + Σ in − Σ out per day; Maybe entries excluded unless counted; variable-date items spread evenly</t>
        </is>
      </c>
      <c r="D55" s="4" t="inlineStr">
        <is>
          <t>entries</t>
        </is>
      </c>
      <c r="E55" s="4" t="inlineStr"/>
      <c r="F55" s="4" t="inlineStr"/>
    </row>
    <row r="56">
      <c r="A56" s="4" t="inlineStr">
        <is>
          <t>M61</t>
        </is>
      </c>
      <c r="B56" s="4" t="inlineStr">
        <is>
          <t>Bonus paycheck months</t>
        </is>
      </c>
      <c r="C56" s="4" t="inlineStr">
        <is>
          <t>Months with 3 paydays for every-2-weeks pay</t>
        </is>
      </c>
      <c r="D56" s="4" t="inlineStr">
        <is>
          <t>pay dates</t>
        </is>
      </c>
      <c r="E56" s="4" t="inlineStr"/>
      <c r="F56" s="4"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45"/>
  <sheetViews>
    <sheetView workbookViewId="0">
      <pane ySplit="2" topLeftCell="A3" activePane="bottomLeft" state="frozen"/>
      <selection pane="bottomLeft" activeCell="A1" sqref="A1"/>
    </sheetView>
  </sheetViews>
  <sheetFormatPr baseColWidth="8" defaultRowHeight="15"/>
  <cols>
    <col width="32" customWidth="1" min="1" max="1"/>
    <col width="80" customWidth="1" min="2" max="2"/>
    <col width="44" customWidth="1" min="3" max="3"/>
    <col width="18" customWidth="1" min="4" max="4"/>
  </cols>
  <sheetData>
    <row r="1">
      <c r="A1" s="1" t="inlineStr">
        <is>
          <t>Reference data: presets, limits, rates, lists</t>
        </is>
      </c>
      <c r="B1" s="2" t="n"/>
      <c r="C1" s="2" t="n"/>
      <c r="D1" s="2" t="n"/>
    </row>
    <row r="2">
      <c r="A2" s="3" t="inlineStr">
        <is>
          <t>Item</t>
        </is>
      </c>
      <c r="B2" s="3" t="inlineStr">
        <is>
          <t>Value</t>
        </is>
      </c>
      <c r="C2" s="3" t="inlineStr">
        <is>
          <t>Source</t>
        </is>
      </c>
      <c r="D2" s="3" t="inlineStr">
        <is>
          <t>Status</t>
        </is>
      </c>
    </row>
    <row r="3">
      <c r="A3" s="5" t="inlineStr">
        <is>
          <t>PRESETS (your numbers)</t>
        </is>
      </c>
      <c r="B3" s="6" t="n"/>
      <c r="C3" s="6" t="n"/>
      <c r="D3" s="6" t="n"/>
    </row>
    <row r="4">
      <c r="A4" s="4" t="inlineStr">
        <is>
          <t>Return (after inflation)</t>
        </is>
      </c>
      <c r="B4" s="4" t="inlineStr">
        <is>
          <t>6% conservative · 7% default · 8% optimistic · 12% hopeful (no inflation taken out)</t>
        </is>
      </c>
      <c r="C4" s="4" t="inlineStr">
        <is>
          <t>Your Oct 28 answers</t>
        </is>
      </c>
      <c r="D4" s="4" t="inlineStr">
        <is>
          <t>Confirmed by you</t>
        </is>
      </c>
    </row>
    <row r="5">
      <c r="A5" s="4" t="inlineStr">
        <is>
          <t>Inflation</t>
        </is>
      </c>
      <c r="B5" s="4" t="inlineStr">
        <is>
          <t>2% default · 3%</t>
        </is>
      </c>
      <c r="C5" s="4" t="inlineStr">
        <is>
          <t>Your Oct 28 defaults</t>
        </is>
      </c>
      <c r="D5" s="4" t="inlineStr">
        <is>
          <t>Confirmed by you</t>
        </is>
      </c>
    </row>
    <row r="6">
      <c r="A6" s="4" t="inlineStr">
        <is>
          <t>Withdrawal rate</t>
        </is>
      </c>
      <c r="B6" s="4" t="inlineStr">
        <is>
          <t>3% · 4% default · 4.7% · 5.2%</t>
        </is>
      </c>
      <c r="C6" s="4" t="inlineStr">
        <is>
          <t>Your Oct 28 defaults</t>
        </is>
      </c>
      <c r="D6" s="4" t="inlineStr">
        <is>
          <t>Confirmed by you</t>
        </is>
      </c>
    </row>
    <row r="7">
      <c r="A7" s="5" t="inlineStr">
        <is>
          <t>2026 LIMITS</t>
        </is>
      </c>
      <c r="B7" s="6" t="n"/>
      <c r="C7" s="6" t="n"/>
      <c r="D7" s="6" t="n"/>
    </row>
    <row r="8">
      <c r="A8" s="4" t="inlineStr">
        <is>
          <t>401(k), 403(b), 457, TSP deferral</t>
        </is>
      </c>
      <c r="B8" s="4" t="inlineStr">
        <is>
          <t>$24,500; catch-up 50+ $8,000; ages 60-63 $11,250</t>
        </is>
      </c>
      <c r="C8" s="4" t="inlineStr">
        <is>
          <t>IRS Notice 2025-67, via 401k Specialist</t>
        </is>
      </c>
      <c r="D8" s="4" t="inlineStr">
        <is>
          <t>Confirm</t>
        </is>
      </c>
    </row>
    <row r="9">
      <c r="A9" s="4" t="inlineStr">
        <is>
          <t>IRA (Roth or Traditional)</t>
        </is>
      </c>
      <c r="B9" s="4" t="inlineStr">
        <is>
          <t>$7,500; catch-up 50+ $1,100</t>
        </is>
      </c>
      <c r="C9" s="4" t="inlineStr">
        <is>
          <t>IRS Notice 2025-67</t>
        </is>
      </c>
      <c r="D9" s="4" t="inlineStr">
        <is>
          <t>Confirm</t>
        </is>
      </c>
    </row>
    <row r="10">
      <c r="A10" s="4" t="inlineStr">
        <is>
          <t>Total defined contribution (415c)</t>
        </is>
      </c>
      <c r="B10" s="4" t="inlineStr">
        <is>
          <t>$72,000</t>
        </is>
      </c>
      <c r="C10" s="4" t="inlineStr">
        <is>
          <t>IRS Notice 2025-67</t>
        </is>
      </c>
      <c r="D10" s="4" t="inlineStr">
        <is>
          <t>Confirm</t>
        </is>
      </c>
    </row>
    <row r="11">
      <c r="A11" s="4" t="inlineStr">
        <is>
          <t>HSA</t>
        </is>
      </c>
      <c r="B11" s="4" t="inlineStr">
        <is>
          <t>$4,400 self-only · $8,750 family · catch-up 55+ $1,000</t>
        </is>
      </c>
      <c r="C11" s="4" t="inlineStr">
        <is>
          <t>IRS, via HR Morning</t>
        </is>
      </c>
      <c r="D11" s="4" t="inlineStr">
        <is>
          <t>Confirm</t>
        </is>
      </c>
    </row>
    <row r="12">
      <c r="A12" s="5" t="inlineStr">
        <is>
          <t>2026 TAXES</t>
        </is>
      </c>
      <c r="B12" s="6" t="n"/>
      <c r="C12" s="6" t="n"/>
      <c r="D12" s="6" t="n"/>
    </row>
    <row r="13">
      <c r="A13" s="4" t="inlineStr">
        <is>
          <t>Standard deduction</t>
        </is>
      </c>
      <c r="B13" s="4" t="inlineStr">
        <is>
          <t>Single $16,100 · Married jointly $32,200</t>
        </is>
      </c>
      <c r="C13" s="4" t="inlineStr">
        <is>
          <t>IRS 2026 inflation adjustments, via Journal of Accountancy</t>
        </is>
      </c>
      <c r="D13" s="4" t="inlineStr">
        <is>
          <t>Confirm</t>
        </is>
      </c>
    </row>
    <row r="14">
      <c r="A14" s="4" t="inlineStr">
        <is>
          <t>Brackets, single (income over)</t>
        </is>
      </c>
      <c r="B14" s="4" t="inlineStr">
        <is>
          <t>10% $0 · 12% $12,400 · 22% $50,400 · 24% $105,700 · 32% $201,775 · 35% $256,225 · 37% $640,600</t>
        </is>
      </c>
      <c r="C14" s="4" t="inlineStr">
        <is>
          <t>Same</t>
        </is>
      </c>
      <c r="D14" s="4" t="inlineStr">
        <is>
          <t>Confirm</t>
        </is>
      </c>
    </row>
    <row r="15">
      <c r="A15" s="4" t="inlineStr">
        <is>
          <t>Brackets, married jointly (income over)</t>
        </is>
      </c>
      <c r="B15" s="4" t="inlineStr">
        <is>
          <t>10% $0 · 12% $24,800 · 22% $100,800 · 24% $211,400 · 32% $403,550 · 35% $512,450 · 37% $768,700</t>
        </is>
      </c>
      <c r="C15" s="4" t="inlineStr">
        <is>
          <t>Same</t>
        </is>
      </c>
      <c r="D15" s="4" t="inlineStr">
        <is>
          <t>Confirm</t>
        </is>
      </c>
    </row>
    <row r="16">
      <c r="A16" s="4" t="inlineStr">
        <is>
          <t>Social Security wage base</t>
        </is>
      </c>
      <c r="B16" s="4" t="inlineStr">
        <is>
          <t>$184,500</t>
        </is>
      </c>
      <c r="C16" s="4" t="inlineStr">
        <is>
          <t>SSA 2026 announcement</t>
        </is>
      </c>
      <c r="D16" s="4" t="inlineStr">
        <is>
          <t>Confirm</t>
        </is>
      </c>
    </row>
    <row r="17">
      <c r="A17" s="4" t="inlineStr">
        <is>
          <t>FICA rates</t>
        </is>
      </c>
      <c r="B17" s="4" t="inlineStr">
        <is>
          <t>6.2% Social Security · 1.45% Medicare · +0.9% over $200k single / $250k joint</t>
        </is>
      </c>
      <c r="C17" s="4" t="inlineStr">
        <is>
          <t>Statutory</t>
        </is>
      </c>
      <c r="D17" s="4" t="inlineStr">
        <is>
          <t>Confirm</t>
        </is>
      </c>
    </row>
    <row r="18">
      <c r="A18" s="5" t="inlineStr">
        <is>
          <t>TYPICAL RATES (used when the client says 'not sure', always labeled Guess)</t>
        </is>
      </c>
      <c r="B18" s="6" t="n"/>
      <c r="C18" s="6" t="n"/>
      <c r="D18" s="6" t="n"/>
    </row>
    <row r="19">
      <c r="A19" s="4" t="inlineStr">
        <is>
          <t>Credit card APR</t>
        </is>
      </c>
      <c r="B19" s="4" t="inlineStr">
        <is>
          <t>22.15% (accounts paying interest); 20.94% all accounts</t>
        </is>
      </c>
      <c r="C19" s="4" t="inlineStr">
        <is>
          <t>Federal Reserve G.19, Q2 2026 (May 2026), released Aug 7 2026</t>
        </is>
      </c>
      <c r="D19" s="4" t="inlineStr">
        <is>
          <t>Confirmed (Fed source)</t>
        </is>
      </c>
    </row>
    <row r="20">
      <c r="A20" s="4" t="inlineStr">
        <is>
          <t>Personal loan APR</t>
        </is>
      </c>
      <c r="B20" s="4" t="inlineStr">
        <is>
          <t>11.86% (24-month, commercial banks)</t>
        </is>
      </c>
      <c r="C20" s="4" t="inlineStr">
        <is>
          <t>Federal Reserve G.19, Q2 2026</t>
        </is>
      </c>
      <c r="D20" s="4" t="inlineStr">
        <is>
          <t>Confirmed (Fed source)</t>
        </is>
      </c>
    </row>
    <row r="21">
      <c r="A21" s="4" t="inlineStr">
        <is>
          <t>Car loan APR</t>
        </is>
      </c>
      <c r="B21" s="4" t="inlineStr">
        <is>
          <t>7.14% (60-month new car); 6.97% (72-month)</t>
        </is>
      </c>
      <c r="C21" s="4" t="inlineStr">
        <is>
          <t>Federal Reserve G.19, Q2 2026</t>
        </is>
      </c>
      <c r="D21" s="4" t="inlineStr">
        <is>
          <t>Confirmed (Fed source)</t>
        </is>
      </c>
    </row>
    <row r="22">
      <c r="A22" s="4" t="inlineStr">
        <is>
          <t>Federal student loan rate</t>
        </is>
      </c>
      <c r="B22" s="4" t="inlineStr">
        <is>
          <t>Depends on year borrowed; ask</t>
        </is>
      </c>
      <c r="C22" s="4" t="inlineStr">
        <is>
          <t>Placeholder</t>
        </is>
      </c>
      <c r="D22" s="4" t="inlineStr">
        <is>
          <t>Confirm</t>
        </is>
      </c>
    </row>
    <row r="23">
      <c r="A23" s="4" t="inlineStr">
        <is>
          <t>Tax set-aside (self-employed)</t>
        </is>
      </c>
      <c r="B23" s="4" t="inlineStr">
        <is>
          <t>25%</t>
        </is>
      </c>
      <c r="C23" s="4" t="inlineStr">
        <is>
          <t>Rule of thumb</t>
        </is>
      </c>
      <c r="D23" s="4" t="inlineStr">
        <is>
          <t>Confirm</t>
        </is>
      </c>
    </row>
    <row r="24">
      <c r="A24" s="4" t="inlineStr">
        <is>
          <t>Low balance line</t>
        </is>
      </c>
      <c r="B24" s="4" t="inlineStr">
        <is>
          <t>$500</t>
        </is>
      </c>
      <c r="C24" s="4" t="inlineStr">
        <is>
          <t>Accepted rule</t>
        </is>
      </c>
      <c r="D24" s="4" t="inlineStr">
        <is>
          <t>Confirmed</t>
        </is>
      </c>
    </row>
    <row r="25">
      <c r="A25" s="5" t="inlineStr">
        <is>
          <t>CATEGORY DEFAULTS</t>
        </is>
      </c>
      <c r="B25" s="6" t="n"/>
      <c r="C25" s="6" t="n"/>
      <c r="D25" s="6" t="n"/>
    </row>
    <row r="26">
      <c r="A26" s="4" t="inlineStr">
        <is>
          <t>Rent or mortgage</t>
        </is>
      </c>
      <c r="B26" s="4" t="inlineStr">
        <is>
          <t>Accommodation · Fixed amount · Fixed date</t>
        </is>
      </c>
      <c r="C26" s="4" t="inlineStr"/>
      <c r="D26" s="4" t="inlineStr"/>
    </row>
    <row r="27">
      <c r="A27" s="4" t="inlineStr">
        <is>
          <t>Electric, gas, water</t>
        </is>
      </c>
      <c r="B27" s="4" t="inlineStr">
        <is>
          <t>Accommodation · Variable amount · Fixed date</t>
        </is>
      </c>
      <c r="C27" s="4" t="inlineStr"/>
      <c r="D27" s="4" t="inlineStr"/>
    </row>
    <row r="28">
      <c r="A28" s="4" t="inlineStr">
        <is>
          <t>Internet, phone</t>
        </is>
      </c>
      <c r="B28" s="4" t="inlineStr">
        <is>
          <t>Accommodation / Other · Fixed amount · Fixed date</t>
        </is>
      </c>
      <c r="C28" s="4" t="inlineStr"/>
      <c r="D28" s="4" t="inlineStr"/>
    </row>
    <row r="29">
      <c r="A29" s="4" t="inlineStr">
        <is>
          <t>Renters or home insurance</t>
        </is>
      </c>
      <c r="B29" s="4" t="inlineStr">
        <is>
          <t>Accommodation · Fixed amount · Fixed date</t>
        </is>
      </c>
      <c r="C29" s="4" t="inlineStr"/>
      <c r="D29" s="4" t="inlineStr"/>
    </row>
    <row r="30">
      <c r="A30" s="4" t="inlineStr">
        <is>
          <t>Groceries, dining out, coffee</t>
        </is>
      </c>
      <c r="B30" s="4" t="inlineStr">
        <is>
          <t>Food · Variable amount · Variable date</t>
        </is>
      </c>
      <c r="C30" s="4" t="inlineStr"/>
      <c r="D30" s="4" t="inlineStr"/>
    </row>
    <row r="31">
      <c r="A31" s="4" t="inlineStr">
        <is>
          <t>Car insurance</t>
        </is>
      </c>
      <c r="B31" s="4" t="inlineStr">
        <is>
          <t>Transportation · Fixed amount · Fixed date · car gate</t>
        </is>
      </c>
      <c r="C31" s="4" t="inlineStr"/>
      <c r="D31" s="4" t="inlineStr"/>
    </row>
    <row r="32">
      <c r="A32" s="4" t="inlineStr">
        <is>
          <t>Gas or charging, tolls, parking</t>
        </is>
      </c>
      <c r="B32" s="4" t="inlineStr">
        <is>
          <t>Transportation · Variable amount · Variable date · car gate</t>
        </is>
      </c>
      <c r="C32" s="4" t="inlineStr"/>
      <c r="D32" s="4" t="inlineStr"/>
    </row>
    <row r="33">
      <c r="A33" s="4" t="inlineStr">
        <is>
          <t>Car maintenance, registration</t>
        </is>
      </c>
      <c r="B33" s="4" t="inlineStr">
        <is>
          <t>Transportation · Variable / Fixed amount · Variable date · car gate</t>
        </is>
      </c>
      <c r="C33" s="4" t="inlineStr"/>
      <c r="D33" s="4" t="inlineStr"/>
    </row>
    <row r="34">
      <c r="A34" s="4" t="inlineStr">
        <is>
          <t>Transit, Uber</t>
        </is>
      </c>
      <c r="B34" s="4" t="inlineStr">
        <is>
          <t>Transportation · Variable amount · Variable date</t>
        </is>
      </c>
      <c r="C34" s="4" t="inlineStr"/>
      <c r="D34" s="4" t="inlineStr"/>
    </row>
    <row r="35">
      <c r="A35" s="4" t="inlineStr">
        <is>
          <t>Therapy</t>
        </is>
      </c>
      <c r="B35" s="4" t="inlineStr">
        <is>
          <t>Therapy · Fixed amount · Fixed date</t>
        </is>
      </c>
      <c r="C35" s="4" t="inlineStr"/>
      <c r="D35" s="4" t="inlineStr"/>
    </row>
    <row r="36">
      <c r="A36" s="4" t="inlineStr">
        <is>
          <t>Subscriptions</t>
        </is>
      </c>
      <c r="B36" s="4" t="inlineStr">
        <is>
          <t>Other · Fixed amount · Fixed date</t>
        </is>
      </c>
      <c r="C36" s="4" t="inlineStr"/>
      <c r="D36" s="4" t="inlineStr"/>
    </row>
    <row r="37">
      <c r="A37" s="4" t="inlineStr">
        <is>
          <t>Wants, travel, gifts</t>
        </is>
      </c>
      <c r="B37" s="4" t="inlineStr">
        <is>
          <t>Wants · Variable amount · Variable date</t>
        </is>
      </c>
      <c r="C37" s="4" t="inlineStr"/>
      <c r="D37" s="4" t="inlineStr"/>
    </row>
    <row r="38">
      <c r="A38" s="4" t="inlineStr">
        <is>
          <t>Kids lines</t>
        </is>
      </c>
      <c r="B38" s="4" t="inlineStr">
        <is>
          <t>Other · mostly Variable · kids gate</t>
        </is>
      </c>
      <c r="C38" s="4" t="inlineStr"/>
      <c r="D38" s="4" t="inlineStr"/>
    </row>
    <row r="39">
      <c r="A39" s="4" t="inlineStr">
        <is>
          <t>Pet lines</t>
        </is>
      </c>
      <c r="B39" s="4" t="inlineStr">
        <is>
          <t>Other · mostly Variable · pets gate</t>
        </is>
      </c>
      <c r="C39" s="4" t="inlineStr"/>
      <c r="D39" s="4" t="inlineStr"/>
    </row>
    <row r="40">
      <c r="A40" s="5" t="inlineStr">
        <is>
          <t>LISTS</t>
        </is>
      </c>
      <c r="B40" s="6" t="n"/>
      <c r="C40" s="6" t="n"/>
      <c r="D40" s="6" t="n"/>
    </row>
    <row r="41">
      <c r="A41" s="4" t="inlineStr">
        <is>
          <t>Debt types (top 4 first)</t>
        </is>
      </c>
      <c r="B41" s="4" t="inlineStr">
        <is>
          <t>Credit card, Student loan, Car loan, Personal loan · Other: medical, family or friend, BNPL, payday or cash advance, tax, 401(k) loan, business, name your own</t>
        </is>
      </c>
      <c r="C41" s="4" t="inlineStr"/>
      <c r="D41" s="4" t="inlineStr"/>
    </row>
    <row r="42">
      <c r="A42" s="4" t="inlineStr">
        <is>
          <t>Investment account types</t>
        </is>
      </c>
      <c r="B42" s="4" t="inlineStr">
        <is>
          <t>401(k), 403(b), 457, TSP, Roth IRA, Traditional IRA, Rollover IRA, SEP, Solo 401(k), HSA, 529, Brokerage, Crypto, Other</t>
        </is>
      </c>
      <c r="C42" s="4" t="inlineStr"/>
      <c r="D42" s="4" t="inlineStr"/>
    </row>
    <row r="43">
      <c r="A43" s="4" t="inlineStr">
        <is>
          <t>Cash account types</t>
        </is>
      </c>
      <c r="B43" s="4" t="inlineStr">
        <is>
          <t>Checking, Savings or HYSA, Money market, CD, Cash on hand</t>
        </is>
      </c>
      <c r="C43" s="4" t="inlineStr"/>
      <c r="D43" s="4" t="inlineStr"/>
    </row>
    <row r="44">
      <c r="A44" s="4" t="inlineStr">
        <is>
          <t>Statuses</t>
        </is>
      </c>
      <c r="B44" s="4" t="inlineStr">
        <is>
          <t>Know it, Roughly, Not sure (Guess), Will email, Not now, Not for me, Computed</t>
        </is>
      </c>
      <c r="C44" s="4" t="inlineStr"/>
      <c r="D44" s="4" t="inlineStr"/>
    </row>
    <row r="45">
      <c r="A45" s="4" t="inlineStr">
        <is>
          <t>Calendar entry statuses</t>
        </is>
      </c>
      <c r="B45" s="4" t="inlineStr">
        <is>
          <t>Planned, Partial, Got it / Paid, Didn't happen, Moved</t>
        </is>
      </c>
      <c r="C45" s="4" t="inlineStr"/>
      <c r="D45" s="4"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V267"/>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12" customWidth="1" min="2" max="2"/>
    <col width="11" customWidth="1" min="3" max="3"/>
    <col width="10" customWidth="1" min="4" max="4"/>
    <col width="16" customWidth="1" min="5" max="5"/>
    <col width="30" customWidth="1" min="6" max="6"/>
    <col width="10" customWidth="1" min="7" max="7"/>
    <col width="30" customWidth="1" min="8" max="8"/>
    <col width="40" customWidth="1" min="9" max="9"/>
    <col width="26" customWidth="1" min="10" max="10"/>
    <col width="14" customWidth="1" min="11" max="11"/>
    <col width="10" customWidth="1" min="12" max="12"/>
    <col width="13" customWidth="1" min="13" max="13"/>
    <col width="9" customWidth="1" min="14" max="14"/>
    <col width="9" customWidth="1" min="15" max="15"/>
    <col width="8" customWidth="1" min="16" max="16"/>
    <col width="32" customWidth="1" min="17" max="17"/>
    <col width="40" customWidth="1" min="18" max="18"/>
    <col width="22" customWidth="1" min="19" max="19"/>
    <col width="14" customWidth="1" min="20" max="20"/>
    <col width="40" customWidth="1" min="21" max="21"/>
  </cols>
  <sheetData>
    <row r="1" ht="28" customHeight="1">
      <c r="A1" s="1" t="inlineStr">
        <is>
          <t>SLAM field map: every input, by layer</t>
        </is>
      </c>
    </row>
    <row r="2">
      <c r="A2" s="3" t="inlineStr">
        <is>
          <t>ID</t>
        </is>
      </c>
      <c r="B2" s="3" t="inlineStr">
        <is>
          <t>Build status</t>
        </is>
      </c>
      <c r="C2" s="3" t="inlineStr">
        <is>
          <t>Stage</t>
        </is>
      </c>
      <c r="D2" s="3" t="inlineStr">
        <is>
          <t>Area</t>
        </is>
      </c>
      <c r="E2" s="3" t="inlineStr">
        <is>
          <t>Secondary area</t>
        </is>
      </c>
      <c r="F2" s="3" t="inlineStr">
        <is>
          <t>Field</t>
        </is>
      </c>
      <c r="G2" s="3" t="inlineStr">
        <is>
          <t>Layer</t>
        </is>
      </c>
      <c r="H2" s="3" t="inlineStr">
        <is>
          <t>What it shows</t>
        </is>
      </c>
      <c r="I2" s="3" t="inlineStr">
        <is>
          <t>Purpose (why it's asked, what it unlocks)</t>
        </is>
      </c>
      <c r="J2" s="3" t="inlineStr">
        <is>
          <t>Features</t>
        </is>
      </c>
      <c r="K2" s="3" t="inlineStr">
        <is>
          <t>Who supplies</t>
        </is>
      </c>
      <c r="L2" s="3" t="inlineStr">
        <is>
          <t>Homework?</t>
        </is>
      </c>
      <c r="M2" s="3" t="inlineStr">
        <is>
          <t>Confidence tags allowed</t>
        </is>
      </c>
      <c r="N2" s="3" t="inlineStr">
        <is>
          <t>Weight</t>
        </is>
      </c>
      <c r="O2" s="3" t="inlineStr">
        <is>
          <t>Stress rating</t>
        </is>
      </c>
      <c r="P2" s="3" t="inlineStr">
        <is>
          <t>Scope</t>
        </is>
      </c>
      <c r="Q2" s="3" t="inlineStr">
        <is>
          <t>Notes / references</t>
        </is>
      </c>
      <c r="R2" s="9" t="inlineStr">
        <is>
          <t>Your comments</t>
        </is>
      </c>
      <c r="S2" s="9" t="inlineStr">
        <is>
          <t>Lives on (screen)</t>
        </is>
      </c>
      <c r="T2" s="9" t="inlineStr">
        <is>
          <t>Data type</t>
        </is>
      </c>
      <c r="U2" s="9" t="inlineStr">
        <is>
          <t>Allowed values</t>
        </is>
      </c>
      <c r="V2" s="9" t="inlineStr">
        <is>
          <t>Build phase</t>
        </is>
      </c>
    </row>
    <row r="3">
      <c r="A3" s="32" t="inlineStr">
        <is>
          <t>F001</t>
        </is>
      </c>
      <c r="B3" s="32" t="inlineStr">
        <is>
          <t>Not started</t>
        </is>
      </c>
      <c r="C3" s="32" t="inlineStr">
        <is>
          <t>Pre-call</t>
        </is>
      </c>
      <c r="D3" s="32" t="inlineStr">
        <is>
          <t>Profile</t>
        </is>
      </c>
      <c r="E3" s="32" t="inlineStr">
        <is>
          <t>About you</t>
        </is>
      </c>
      <c r="F3" s="32" t="inlineStr">
        <is>
          <t>First name</t>
        </is>
      </c>
      <c r="G3" s="32" t="inlineStr">
        <is>
          <t>Primary</t>
        </is>
      </c>
      <c r="H3" s="32" t="inlineStr">
        <is>
          <t>Text box</t>
        </is>
      </c>
      <c r="I3" s="32" t="inlineStr">
        <is>
          <t>Non financial. Personalizes copy and breadcrumb</t>
        </is>
      </c>
      <c r="J3" s="32" t="n"/>
      <c r="K3" s="32" t="inlineStr">
        <is>
          <t>Client</t>
        </is>
      </c>
      <c r="L3" s="32" t="n"/>
      <c r="M3" s="32" t="inlineStr">
        <is>
          <t>Know it</t>
        </is>
      </c>
      <c r="N3" s="32" t="inlineStr">
        <is>
          <t>Low</t>
        </is>
      </c>
      <c r="O3" s="32" t="n"/>
      <c r="P3" s="32" t="inlineStr">
        <is>
          <t>Now</t>
        </is>
      </c>
      <c r="Q3" s="32" t="n"/>
      <c r="S3" s="10" t="inlineStr">
        <is>
          <t>My Money › Profile</t>
        </is>
      </c>
      <c r="T3" s="10" t="inlineStr">
        <is>
          <t>text</t>
        </is>
      </c>
      <c r="U3" s="10" t="inlineStr"/>
      <c r="V3" s="33" t="inlineStr">
        <is>
          <t>5</t>
        </is>
      </c>
    </row>
    <row r="4">
      <c r="A4" s="32" t="inlineStr">
        <is>
          <t>F002</t>
        </is>
      </c>
      <c r="B4" s="32" t="inlineStr">
        <is>
          <t>Not started</t>
        </is>
      </c>
      <c r="C4" s="32" t="inlineStr">
        <is>
          <t>Pre-call</t>
        </is>
      </c>
      <c r="D4" s="32" t="inlineStr">
        <is>
          <t>Profile</t>
        </is>
      </c>
      <c r="E4" s="32" t="inlineStr">
        <is>
          <t>About you</t>
        </is>
      </c>
      <c r="F4" s="32" t="inlineStr">
        <is>
          <t>Last name</t>
        </is>
      </c>
      <c r="G4" s="32" t="inlineStr">
        <is>
          <t>Primary</t>
        </is>
      </c>
      <c r="H4" s="32" t="inlineStr">
        <is>
          <t>Text box</t>
        </is>
      </c>
      <c r="I4" s="32" t="inlineStr">
        <is>
          <t>Non financial</t>
        </is>
      </c>
      <c r="J4" s="32" t="n"/>
      <c r="K4" s="32" t="inlineStr">
        <is>
          <t>Client</t>
        </is>
      </c>
      <c r="L4" s="32" t="n"/>
      <c r="M4" s="32" t="inlineStr">
        <is>
          <t>Know it</t>
        </is>
      </c>
      <c r="N4" s="32" t="inlineStr">
        <is>
          <t>Low</t>
        </is>
      </c>
      <c r="O4" s="32" t="n"/>
      <c r="P4" s="32" t="inlineStr">
        <is>
          <t>Now</t>
        </is>
      </c>
      <c r="Q4" s="32" t="n"/>
      <c r="S4" s="10" t="inlineStr">
        <is>
          <t>My Money › Profile</t>
        </is>
      </c>
      <c r="T4" s="10" t="inlineStr">
        <is>
          <t>text</t>
        </is>
      </c>
      <c r="U4" s="10" t="inlineStr"/>
      <c r="V4" s="33" t="inlineStr">
        <is>
          <t>5</t>
        </is>
      </c>
    </row>
    <row r="5">
      <c r="A5" s="32" t="inlineStr">
        <is>
          <t>F003</t>
        </is>
      </c>
      <c r="B5" s="32" t="inlineStr">
        <is>
          <t>Not started</t>
        </is>
      </c>
      <c r="C5" s="32" t="inlineStr">
        <is>
          <t>Pre-call</t>
        </is>
      </c>
      <c r="D5" s="32" t="inlineStr">
        <is>
          <t>Profile</t>
        </is>
      </c>
      <c r="E5" s="32" t="inlineStr">
        <is>
          <t>About you</t>
        </is>
      </c>
      <c r="F5" s="32" t="inlineStr">
        <is>
          <t>Birth month and year</t>
        </is>
      </c>
      <c r="G5" s="32" t="inlineStr">
        <is>
          <t>Primary</t>
        </is>
      </c>
      <c r="H5" s="32" t="inlineStr">
        <is>
          <t>Month picker (calendar style)</t>
        </is>
      </c>
      <c r="I5" s="32" t="inlineStr">
        <is>
          <t>Computes age. Drives Rule of 5, FI timeline, account age rules (55, 59.5, 65)</t>
        </is>
      </c>
      <c r="J5" s="32" t="n"/>
      <c r="K5" s="32" t="inlineStr">
        <is>
          <t>Client</t>
        </is>
      </c>
      <c r="L5" s="32" t="n"/>
      <c r="M5" s="32" t="inlineStr">
        <is>
          <t>Know it</t>
        </is>
      </c>
      <c r="N5" s="32" t="inlineStr">
        <is>
          <t>High</t>
        </is>
      </c>
      <c r="O5" s="32" t="n"/>
      <c r="P5" s="32" t="inlineStr">
        <is>
          <t>Now</t>
        </is>
      </c>
      <c r="Q5" s="32" t="n"/>
      <c r="S5" s="10" t="inlineStr">
        <is>
          <t>My Money › Profile</t>
        </is>
      </c>
      <c r="T5" s="10" t="inlineStr">
        <is>
          <t>date</t>
        </is>
      </c>
      <c r="U5" s="10" t="inlineStr"/>
      <c r="V5" s="33" t="inlineStr">
        <is>
          <t>5</t>
        </is>
      </c>
    </row>
    <row r="6">
      <c r="A6" s="32" t="inlineStr">
        <is>
          <t>F004</t>
        </is>
      </c>
      <c r="B6" s="32" t="inlineStr">
        <is>
          <t>Not started</t>
        </is>
      </c>
      <c r="C6" s="32" t="inlineStr">
        <is>
          <t>Pre-call</t>
        </is>
      </c>
      <c r="D6" s="32" t="inlineStr">
        <is>
          <t>Profile</t>
        </is>
      </c>
      <c r="E6" s="32" t="inlineStr">
        <is>
          <t>About you</t>
        </is>
      </c>
      <c r="F6" s="32" t="inlineStr">
        <is>
          <t>State</t>
        </is>
      </c>
      <c r="G6" s="32" t="inlineStr">
        <is>
          <t>Primary</t>
        </is>
      </c>
      <c r="H6" s="32" t="inlineStr">
        <is>
          <t>Type-and-pick dropdown</t>
        </is>
      </c>
      <c r="I6" s="32" t="inlineStr">
        <is>
          <t>Tax and benefit rules. Most clients NY</t>
        </is>
      </c>
      <c r="J6" s="32" t="n"/>
      <c r="K6" s="32" t="inlineStr">
        <is>
          <t>Client</t>
        </is>
      </c>
      <c r="L6" s="32" t="n"/>
      <c r="M6" s="32" t="inlineStr">
        <is>
          <t>Know it</t>
        </is>
      </c>
      <c r="N6" s="32" t="inlineStr">
        <is>
          <t>High</t>
        </is>
      </c>
      <c r="O6" s="32" t="n"/>
      <c r="P6" s="32" t="inlineStr">
        <is>
          <t>Now</t>
        </is>
      </c>
      <c r="Q6" s="32" t="inlineStr">
        <is>
          <t>ProjectionLab asks country, state, locality up front</t>
        </is>
      </c>
      <c r="S6" s="10" t="inlineStr">
        <is>
          <t>My Money › Profile</t>
        </is>
      </c>
      <c r="T6" s="10" t="inlineStr">
        <is>
          <t>choice</t>
        </is>
      </c>
      <c r="U6" s="10" t="inlineStr"/>
      <c r="V6" s="33" t="inlineStr">
        <is>
          <t>5</t>
        </is>
      </c>
    </row>
    <row r="7">
      <c r="A7" s="32" t="inlineStr">
        <is>
          <t>F005</t>
        </is>
      </c>
      <c r="B7" s="32" t="inlineStr">
        <is>
          <t>Not started</t>
        </is>
      </c>
      <c r="C7" s="32" t="inlineStr">
        <is>
          <t>Pre-call</t>
        </is>
      </c>
      <c r="D7" s="32" t="inlineStr">
        <is>
          <t>Profile</t>
        </is>
      </c>
      <c r="E7" s="32" t="inlineStr">
        <is>
          <t>Household</t>
        </is>
      </c>
      <c r="F7" s="32" t="inlineStr">
        <is>
          <t>Solo or couple</t>
        </is>
      </c>
      <c r="G7" s="32" t="inlineStr">
        <is>
          <t>Primary</t>
        </is>
      </c>
      <c r="H7" s="32" t="inlineStr">
        <is>
          <t>Two big buttons</t>
        </is>
      </c>
      <c r="I7" s="32" t="inlineStr">
        <is>
          <t>Gates every Owner field and the partner rows</t>
        </is>
      </c>
      <c r="J7" s="32" t="inlineStr">
        <is>
          <t>Owner dropdown appears on every row when couple</t>
        </is>
      </c>
      <c r="K7" s="32" t="inlineStr">
        <is>
          <t>Client</t>
        </is>
      </c>
      <c r="L7" s="32" t="n"/>
      <c r="M7" s="32" t="inlineStr">
        <is>
          <t>Know it</t>
        </is>
      </c>
      <c r="N7" s="32" t="inlineStr">
        <is>
          <t>High</t>
        </is>
      </c>
      <c r="O7" s="32" t="n"/>
      <c r="P7" s="32" t="inlineStr">
        <is>
          <t>Now</t>
        </is>
      </c>
      <c r="Q7" s="32" t="n"/>
      <c r="S7" s="10" t="inlineStr">
        <is>
          <t>My Money › Profile</t>
        </is>
      </c>
      <c r="T7" s="10" t="inlineStr">
        <is>
          <t>text</t>
        </is>
      </c>
      <c r="U7" s="10" t="inlineStr"/>
      <c r="V7" s="33" t="inlineStr">
        <is>
          <t>5</t>
        </is>
      </c>
    </row>
    <row r="8">
      <c r="A8" s="32" t="inlineStr">
        <is>
          <t>F006</t>
        </is>
      </c>
      <c r="B8" s="32" t="inlineStr">
        <is>
          <t>Not started</t>
        </is>
      </c>
      <c r="C8" s="32" t="inlineStr">
        <is>
          <t>Pre-call</t>
        </is>
      </c>
      <c r="D8" s="32" t="inlineStr">
        <is>
          <t>Profile</t>
        </is>
      </c>
      <c r="E8" s="32" t="inlineStr">
        <is>
          <t>Household</t>
        </is>
      </c>
      <c r="F8" s="32" t="inlineStr">
        <is>
          <t>Partner first name</t>
        </is>
      </c>
      <c r="G8" s="32" t="inlineStr">
        <is>
          <t>Primary</t>
        </is>
      </c>
      <c r="H8" s="32" t="inlineStr">
        <is>
          <t>Text box</t>
        </is>
      </c>
      <c r="I8" s="32" t="inlineStr">
        <is>
          <t>Shown only for couples</t>
        </is>
      </c>
      <c r="J8" s="32" t="n"/>
      <c r="K8" s="32" t="inlineStr">
        <is>
          <t>Client</t>
        </is>
      </c>
      <c r="L8" s="32" t="n"/>
      <c r="M8" s="32" t="inlineStr">
        <is>
          <t>Know it</t>
        </is>
      </c>
      <c r="N8" s="32" t="inlineStr">
        <is>
          <t>Low</t>
        </is>
      </c>
      <c r="O8" s="32" t="n"/>
      <c r="P8" s="32" t="inlineStr">
        <is>
          <t>Now</t>
        </is>
      </c>
      <c r="Q8" s="32" t="n"/>
      <c r="S8" s="10" t="inlineStr">
        <is>
          <t>My Money › Profile</t>
        </is>
      </c>
      <c r="T8" s="10" t="inlineStr">
        <is>
          <t>text</t>
        </is>
      </c>
      <c r="U8" s="10" t="inlineStr"/>
      <c r="V8" s="33" t="inlineStr">
        <is>
          <t>5</t>
        </is>
      </c>
    </row>
    <row r="9">
      <c r="A9" s="32" t="inlineStr">
        <is>
          <t>F007</t>
        </is>
      </c>
      <c r="B9" s="32" t="inlineStr">
        <is>
          <t>Not started</t>
        </is>
      </c>
      <c r="C9" s="32" t="inlineStr">
        <is>
          <t>Pre-call</t>
        </is>
      </c>
      <c r="D9" s="32" t="inlineStr">
        <is>
          <t>Profile</t>
        </is>
      </c>
      <c r="E9" s="32" t="inlineStr">
        <is>
          <t>Household</t>
        </is>
      </c>
      <c r="F9" s="32" t="inlineStr">
        <is>
          <t>Partner birth month and year</t>
        </is>
      </c>
      <c r="G9" s="32" t="inlineStr">
        <is>
          <t>Primary</t>
        </is>
      </c>
      <c r="H9" s="32" t="inlineStr">
        <is>
          <t>Month picker</t>
        </is>
      </c>
      <c r="I9" s="32" t="inlineStr">
        <is>
          <t>Partner age for joint timeline</t>
        </is>
      </c>
      <c r="J9" s="32" t="n"/>
      <c r="K9" s="32" t="inlineStr">
        <is>
          <t>Client</t>
        </is>
      </c>
      <c r="L9" s="32" t="n"/>
      <c r="M9" s="32" t="inlineStr">
        <is>
          <t>Know it</t>
        </is>
      </c>
      <c r="N9" s="32" t="inlineStr">
        <is>
          <t>High</t>
        </is>
      </c>
      <c r="O9" s="32" t="n"/>
      <c r="P9" s="32" t="inlineStr">
        <is>
          <t>Now</t>
        </is>
      </c>
      <c r="Q9" s="32" t="n"/>
      <c r="S9" s="10" t="inlineStr">
        <is>
          <t>My Money › Profile</t>
        </is>
      </c>
      <c r="T9" s="10" t="inlineStr">
        <is>
          <t>date</t>
        </is>
      </c>
      <c r="U9" s="10" t="inlineStr"/>
      <c r="V9" s="33" t="inlineStr">
        <is>
          <t>5</t>
        </is>
      </c>
    </row>
    <row r="10">
      <c r="A10" s="32" t="inlineStr">
        <is>
          <t>F008</t>
        </is>
      </c>
      <c r="B10" s="32" t="inlineStr">
        <is>
          <t>Not started</t>
        </is>
      </c>
      <c r="C10" s="32" t="inlineStr">
        <is>
          <t>Pre-call</t>
        </is>
      </c>
      <c r="D10" s="32" t="inlineStr">
        <is>
          <t>Profile</t>
        </is>
      </c>
      <c r="E10" s="32" t="inlineStr">
        <is>
          <t>Household</t>
        </is>
      </c>
      <c r="F10" s="32" t="inlineStr">
        <is>
          <t>Dependents (count and ages)</t>
        </is>
      </c>
      <c r="G10" s="32" t="inlineStr">
        <is>
          <t>Secondary</t>
        </is>
      </c>
      <c r="H10" s="32" t="inlineStr">
        <is>
          <t>Stepper plus age boxes</t>
        </is>
      </c>
      <c r="I10" s="32" t="inlineStr">
        <is>
          <t>Taxes, needs, kid scenario blocks</t>
        </is>
      </c>
      <c r="J10" s="32" t="n"/>
      <c r="K10" s="32" t="inlineStr">
        <is>
          <t>Client</t>
        </is>
      </c>
      <c r="L10" s="32" t="n"/>
      <c r="M10" s="32" t="inlineStr">
        <is>
          <t>All</t>
        </is>
      </c>
      <c r="N10" s="32" t="inlineStr">
        <is>
          <t>Medium</t>
        </is>
      </c>
      <c r="O10" s="32" t="n"/>
      <c r="P10" s="32" t="inlineStr">
        <is>
          <t>Now</t>
        </is>
      </c>
      <c r="Q10" s="32" t="n"/>
      <c r="S10" s="10" t="inlineStr">
        <is>
          <t>My Money › Profile</t>
        </is>
      </c>
      <c r="T10" s="10" t="inlineStr">
        <is>
          <t>whole number</t>
        </is>
      </c>
      <c r="U10" s="10" t="inlineStr"/>
      <c r="V10" s="33" t="inlineStr">
        <is>
          <t>5</t>
        </is>
      </c>
    </row>
    <row r="11">
      <c r="A11" s="32" t="inlineStr">
        <is>
          <t>F009</t>
        </is>
      </c>
      <c r="B11" s="32" t="inlineStr">
        <is>
          <t>Not started</t>
        </is>
      </c>
      <c r="C11" s="32" t="inlineStr">
        <is>
          <t>Pre-call</t>
        </is>
      </c>
      <c r="D11" s="32" t="inlineStr">
        <is>
          <t>Profile</t>
        </is>
      </c>
      <c r="E11" s="32" t="inlineStr">
        <is>
          <t>Work</t>
        </is>
      </c>
      <c r="F11" s="32" t="inlineStr">
        <is>
          <t>Work situation</t>
        </is>
      </c>
      <c r="G11" s="32" t="inlineStr">
        <is>
          <t>Primary</t>
        </is>
      </c>
      <c r="H11" s="32" t="inlineStr">
        <is>
          <t>Pick one: employed W-2, self-employed, between jobs, student, retired, mixed</t>
        </is>
      </c>
      <c r="I11" s="32" t="inlineStr">
        <is>
          <t>Situation gate. Fields that don't apply are absent, not hidden (no employer match when between jobs)</t>
        </is>
      </c>
      <c r="J11" s="32" t="n"/>
      <c r="K11" s="32" t="inlineStr">
        <is>
          <t>Client</t>
        </is>
      </c>
      <c r="L11" s="32" t="n"/>
      <c r="M11" s="32" t="inlineStr">
        <is>
          <t>Know it</t>
        </is>
      </c>
      <c r="N11" s="32" t="inlineStr">
        <is>
          <t>High</t>
        </is>
      </c>
      <c r="O11" s="32" t="n"/>
      <c r="P11" s="32" t="inlineStr">
        <is>
          <t>Now</t>
        </is>
      </c>
      <c r="Q11" s="32" t="n"/>
      <c r="S11" s="10" t="inlineStr">
        <is>
          <t>My Money › Profile</t>
        </is>
      </c>
      <c r="T11" s="10" t="inlineStr">
        <is>
          <t>choice</t>
        </is>
      </c>
      <c r="U11" s="10" t="inlineStr">
        <is>
          <t>employed W-2, self-employed, between jobs, student, retired, mixed</t>
        </is>
      </c>
      <c r="V11" s="33" t="inlineStr">
        <is>
          <t>5</t>
        </is>
      </c>
    </row>
    <row r="12">
      <c r="A12" s="32" t="inlineStr">
        <is>
          <t>F010</t>
        </is>
      </c>
      <c r="B12" s="32" t="inlineStr">
        <is>
          <t>Not started</t>
        </is>
      </c>
      <c r="C12" s="32" t="inlineStr">
        <is>
          <t>Pre-call</t>
        </is>
      </c>
      <c r="D12" s="32" t="inlineStr">
        <is>
          <t>Profile</t>
        </is>
      </c>
      <c r="E12" s="32" t="inlineStr">
        <is>
          <t>Car and pets</t>
        </is>
      </c>
      <c r="F12" s="32" t="inlineStr">
        <is>
          <t>Has a car / has pets</t>
        </is>
      </c>
      <c r="G12" s="32" t="inlineStr">
        <is>
          <t>Primary</t>
        </is>
      </c>
      <c r="H12" s="32" t="inlineStr">
        <is>
          <t>Two yes-or-no buttons</t>
        </is>
      </c>
      <c r="I12" s="32" t="inlineStr">
        <is>
          <t>Car gate and pets gate for Needs lines</t>
        </is>
      </c>
      <c r="J12" s="32" t="n"/>
      <c r="K12" s="32" t="inlineStr">
        <is>
          <t>Client</t>
        </is>
      </c>
      <c r="L12" s="32" t="n"/>
      <c r="M12" s="32" t="inlineStr">
        <is>
          <t>Know it</t>
        </is>
      </c>
      <c r="N12" s="32" t="inlineStr">
        <is>
          <t>High</t>
        </is>
      </c>
      <c r="O12" s="32" t="n"/>
      <c r="P12" s="32" t="inlineStr">
        <is>
          <t>Now</t>
        </is>
      </c>
      <c r="Q12" s="32" t="n"/>
      <c r="S12" s="10" t="inlineStr">
        <is>
          <t>My Money › Profile</t>
        </is>
      </c>
      <c r="T12" s="10" t="inlineStr">
        <is>
          <t>text</t>
        </is>
      </c>
      <c r="U12" s="10" t="inlineStr"/>
      <c r="V12" s="33" t="inlineStr">
        <is>
          <t>5</t>
        </is>
      </c>
    </row>
    <row r="13">
      <c r="A13" s="32" t="inlineStr">
        <is>
          <t>F011</t>
        </is>
      </c>
      <c r="B13" s="32" t="inlineStr">
        <is>
          <t>Not started</t>
        </is>
      </c>
      <c r="C13" s="32" t="inlineStr">
        <is>
          <t>Pre-call</t>
        </is>
      </c>
      <c r="D13" s="32" t="inlineStr">
        <is>
          <t>Profile</t>
        </is>
      </c>
      <c r="E13" s="32" t="inlineStr">
        <is>
          <t>Work</t>
        </is>
      </c>
      <c r="F13" s="32" t="inlineStr">
        <is>
          <t>Income stability</t>
        </is>
      </c>
      <c r="G13" s="32" t="inlineStr">
        <is>
          <t>Tertiary</t>
        </is>
      </c>
      <c r="H13" s="32" t="inlineStr">
        <is>
          <t>3-step slider (steady, varies, unpredictable)</t>
        </is>
      </c>
      <c r="I13" s="32" t="inlineStr">
        <is>
          <t>Adjusts the Rule of 5 emergency target</t>
        </is>
      </c>
      <c r="J13" s="32" t="n"/>
      <c r="K13" s="32" t="inlineStr">
        <is>
          <t>Client</t>
        </is>
      </c>
      <c r="L13" s="32" t="n"/>
      <c r="M13" s="32" t="inlineStr">
        <is>
          <t>All</t>
        </is>
      </c>
      <c r="N13" s="32" t="inlineStr">
        <is>
          <t>Medium</t>
        </is>
      </c>
      <c r="O13" s="32" t="n"/>
      <c r="P13" s="32" t="inlineStr">
        <is>
          <t>Now</t>
        </is>
      </c>
      <c r="Q13" s="32" t="n"/>
      <c r="S13" s="10" t="inlineStr">
        <is>
          <t>My Money › Profile</t>
        </is>
      </c>
      <c r="T13" s="10" t="inlineStr">
        <is>
          <t>text</t>
        </is>
      </c>
      <c r="U13" s="10" t="inlineStr"/>
      <c r="V13" s="33" t="inlineStr">
        <is>
          <t>5</t>
        </is>
      </c>
    </row>
    <row r="14">
      <c r="A14" s="32" t="inlineStr">
        <is>
          <t>F012</t>
        </is>
      </c>
      <c r="B14" s="32" t="inlineStr">
        <is>
          <t>Not started</t>
        </is>
      </c>
      <c r="C14" s="32" t="inlineStr">
        <is>
          <t>Pre-call</t>
        </is>
      </c>
      <c r="D14" s="32" t="inlineStr">
        <is>
          <t>Profile</t>
        </is>
      </c>
      <c r="E14" s="32" t="inlineStr">
        <is>
          <t>Home</t>
        </is>
      </c>
      <c r="F14" s="32" t="inlineStr">
        <is>
          <t>Housing status</t>
        </is>
      </c>
      <c r="G14" s="32" t="inlineStr">
        <is>
          <t>Primary</t>
        </is>
      </c>
      <c r="H14" s="32" t="inlineStr">
        <is>
          <t>Pick one: rent, own, live with family, other</t>
        </is>
      </c>
      <c r="I14" s="32" t="inlineStr">
        <is>
          <t>Gates Needs housing rows and the home asset</t>
        </is>
      </c>
      <c r="J14" s="32" t="n"/>
      <c r="K14" s="32" t="inlineStr">
        <is>
          <t>Client</t>
        </is>
      </c>
      <c r="L14" s="32" t="n"/>
      <c r="M14" s="32" t="inlineStr">
        <is>
          <t>Know it</t>
        </is>
      </c>
      <c r="N14" s="32" t="inlineStr">
        <is>
          <t>High</t>
        </is>
      </c>
      <c r="O14" s="32" t="n"/>
      <c r="P14" s="32" t="inlineStr">
        <is>
          <t>Now</t>
        </is>
      </c>
      <c r="Q14" s="32" t="n"/>
      <c r="S14" s="10" t="inlineStr">
        <is>
          <t>My Money › Profile</t>
        </is>
      </c>
      <c r="T14" s="10" t="inlineStr">
        <is>
          <t>choice</t>
        </is>
      </c>
      <c r="U14" s="10" t="inlineStr">
        <is>
          <t>rent, own, live with family, other</t>
        </is>
      </c>
      <c r="V14" s="33" t="inlineStr">
        <is>
          <t>5</t>
        </is>
      </c>
    </row>
    <row r="15">
      <c r="A15" s="32" t="inlineStr">
        <is>
          <t>F013</t>
        </is>
      </c>
      <c r="B15" s="32" t="inlineStr">
        <is>
          <t>Not started</t>
        </is>
      </c>
      <c r="C15" s="32" t="inlineStr">
        <is>
          <t>Pre-call</t>
        </is>
      </c>
      <c r="D15" s="32" t="inlineStr">
        <is>
          <t>Profile</t>
        </is>
      </c>
      <c r="E15" s="32" t="inlineStr">
        <is>
          <t>Home</t>
        </is>
      </c>
      <c r="F15" s="32" t="inlineStr">
        <is>
          <t>Roommates (count)</t>
        </is>
      </c>
      <c r="G15" s="32" t="inlineStr">
        <is>
          <t>Secondary</t>
        </is>
      </c>
      <c r="H15" s="32" t="inlineStr">
        <is>
          <t>Stepper</t>
        </is>
      </c>
      <c r="I15" s="32" t="inlineStr">
        <is>
          <t>Default split count for every shared Needs line. Enables worst case where everything falls on the client</t>
        </is>
      </c>
      <c r="J15" s="32" t="n"/>
      <c r="K15" s="32" t="inlineStr">
        <is>
          <t>Client</t>
        </is>
      </c>
      <c r="L15" s="32" t="n"/>
      <c r="M15" s="32" t="inlineStr">
        <is>
          <t>All</t>
        </is>
      </c>
      <c r="N15" s="32" t="inlineStr">
        <is>
          <t>Medium</t>
        </is>
      </c>
      <c r="O15" s="32" t="n"/>
      <c r="P15" s="32" t="inlineStr">
        <is>
          <t>Now</t>
        </is>
      </c>
      <c r="Q15" s="32" t="n"/>
      <c r="S15" s="10" t="inlineStr">
        <is>
          <t>My Money › Profile</t>
        </is>
      </c>
      <c r="T15" s="10" t="inlineStr">
        <is>
          <t>whole number</t>
        </is>
      </c>
      <c r="U15" s="10" t="inlineStr"/>
      <c r="V15" s="33" t="inlineStr">
        <is>
          <t>5</t>
        </is>
      </c>
    </row>
    <row r="16">
      <c r="A16" s="32" t="inlineStr">
        <is>
          <t>F014</t>
        </is>
      </c>
      <c r="B16" s="32" t="inlineStr">
        <is>
          <t>Not started</t>
        </is>
      </c>
      <c r="C16" s="32" t="inlineStr">
        <is>
          <t>Pre-call</t>
        </is>
      </c>
      <c r="D16" s="32" t="inlineStr">
        <is>
          <t>Profile</t>
        </is>
      </c>
      <c r="E16" s="32" t="inlineStr">
        <is>
          <t>Health</t>
        </is>
      </c>
      <c r="F16" s="32" t="inlineStr">
        <is>
          <t>Health coverage type</t>
        </is>
      </c>
      <c r="G16" s="32" t="inlineStr">
        <is>
          <t>Secondary</t>
        </is>
      </c>
      <c r="H16" s="32" t="inlineStr">
        <is>
          <t>Pick one: employer, ACA, parent's plan, Medicaid, none, other</t>
        </is>
      </c>
      <c r="I16" s="32" t="inlineStr">
        <is>
          <t>Lives in profile (decided Oct 18). Feeds HSA eligibility and early retirement healthcare</t>
        </is>
      </c>
      <c r="J16" s="32" t="n"/>
      <c r="K16" s="32" t="inlineStr">
        <is>
          <t>Client</t>
        </is>
      </c>
      <c r="L16" s="32" t="n"/>
      <c r="M16" s="32" t="inlineStr">
        <is>
          <t>All</t>
        </is>
      </c>
      <c r="N16" s="32" t="inlineStr">
        <is>
          <t>Medium</t>
        </is>
      </c>
      <c r="O16" s="32" t="n"/>
      <c r="P16" s="32" t="inlineStr">
        <is>
          <t>Now</t>
        </is>
      </c>
      <c r="Q16" s="32" t="n"/>
      <c r="S16" s="10" t="inlineStr">
        <is>
          <t>My Money › Profile</t>
        </is>
      </c>
      <c r="T16" s="10" t="inlineStr">
        <is>
          <t>choice</t>
        </is>
      </c>
      <c r="U16" s="10" t="inlineStr">
        <is>
          <t>employer, ACA, parent's plan, Medicaid, none, other</t>
        </is>
      </c>
      <c r="V16" s="33" t="inlineStr">
        <is>
          <t>5</t>
        </is>
      </c>
    </row>
    <row r="17">
      <c r="A17" s="32" t="inlineStr">
        <is>
          <t>F015</t>
        </is>
      </c>
      <c r="B17" s="32" t="inlineStr">
        <is>
          <t>Not started</t>
        </is>
      </c>
      <c r="C17" s="32" t="inlineStr">
        <is>
          <t>Pre-call</t>
        </is>
      </c>
      <c r="D17" s="32" t="inlineStr">
        <is>
          <t>Profile</t>
        </is>
      </c>
      <c r="E17" s="32" t="inlineStr">
        <is>
          <t>Accounts gate</t>
        </is>
      </c>
      <c r="F17" s="32" t="inlineStr">
        <is>
          <t>Which do you have today</t>
        </is>
      </c>
      <c r="G17" s="32" t="inlineStr">
        <is>
          <t>Primary</t>
        </is>
      </c>
      <c r="H17" s="32" t="inlineStr">
        <is>
          <t>Multiselect cards: cash, investments, home or car, debt</t>
        </is>
      </c>
      <c r="I17" s="32" t="inlineStr">
        <is>
          <t>Only checked areas appear. Every area gets a built-in 'I don't have this'</t>
        </is>
      </c>
      <c r="J17" s="32" t="inlineStr">
        <is>
          <t>Multiselect</t>
        </is>
      </c>
      <c r="K17" s="32" t="inlineStr">
        <is>
          <t>Client</t>
        </is>
      </c>
      <c r="L17" s="32" t="n"/>
      <c r="M17" s="32" t="inlineStr">
        <is>
          <t>Know it</t>
        </is>
      </c>
      <c r="N17" s="32" t="inlineStr">
        <is>
          <t>High</t>
        </is>
      </c>
      <c r="O17" s="32" t="n"/>
      <c r="P17" s="32" t="inlineStr">
        <is>
          <t>Now</t>
        </is>
      </c>
      <c r="Q17" s="32" t="inlineStr">
        <is>
          <t>ProjectionLab setup step 2</t>
        </is>
      </c>
      <c r="S17" s="10" t="inlineStr">
        <is>
          <t>My Money › Profile</t>
        </is>
      </c>
      <c r="T17" s="10" t="inlineStr">
        <is>
          <t>choice</t>
        </is>
      </c>
      <c r="U17" s="10" t="inlineStr">
        <is>
          <t>cash, investments, home or car, debt</t>
        </is>
      </c>
      <c r="V17" s="33" t="inlineStr">
        <is>
          <t>5</t>
        </is>
      </c>
    </row>
    <row r="18">
      <c r="A18" s="32" t="inlineStr">
        <is>
          <t>F016</t>
        </is>
      </c>
      <c r="B18" s="32" t="inlineStr">
        <is>
          <t>Not started</t>
        </is>
      </c>
      <c r="C18" s="32" t="inlineStr">
        <is>
          <t>Pre-call</t>
        </is>
      </c>
      <c r="D18" s="32" t="inlineStr">
        <is>
          <t>Profile</t>
        </is>
      </c>
      <c r="E18" s="32" t="inlineStr">
        <is>
          <t>Accounts gate</t>
        </is>
      </c>
      <c r="F18" s="32" t="inlineStr">
        <is>
          <t>How many of each type</t>
        </is>
      </c>
      <c r="G18" s="32" t="inlineStr">
        <is>
          <t>Primary</t>
        </is>
      </c>
      <c r="H18" s="32" t="inlineStr">
        <is>
          <t>Stepper per type</t>
        </is>
      </c>
      <c r="I18" s="32" t="inlineStr">
        <is>
          <t>Creates the rows up front (Oct 28 decision). Add or duplicate later</t>
        </is>
      </c>
      <c r="J18" s="32" t="inlineStr">
        <is>
          <t>Add, duplicate</t>
        </is>
      </c>
      <c r="K18" s="32" t="inlineStr">
        <is>
          <t>Client</t>
        </is>
      </c>
      <c r="L18" s="32" t="n"/>
      <c r="M18" s="32" t="inlineStr">
        <is>
          <t>All</t>
        </is>
      </c>
      <c r="N18" s="32" t="inlineStr">
        <is>
          <t>High</t>
        </is>
      </c>
      <c r="O18" s="32" t="n"/>
      <c r="P18" s="32" t="inlineStr">
        <is>
          <t>Now</t>
        </is>
      </c>
      <c r="Q18" s="32" t="n"/>
      <c r="S18" s="10" t="inlineStr">
        <is>
          <t>My Money › Profile</t>
        </is>
      </c>
      <c r="T18" s="10" t="inlineStr">
        <is>
          <t>whole number</t>
        </is>
      </c>
      <c r="U18" s="10" t="inlineStr"/>
      <c r="V18" s="33" t="inlineStr">
        <is>
          <t>5</t>
        </is>
      </c>
    </row>
    <row r="19">
      <c r="A19" s="32" t="inlineStr">
        <is>
          <t>F017</t>
        </is>
      </c>
      <c r="B19" s="32" t="inlineStr">
        <is>
          <t>Not started</t>
        </is>
      </c>
      <c r="C19" s="32" t="inlineStr">
        <is>
          <t>Session 1</t>
        </is>
      </c>
      <c r="D19" s="32" t="inlineStr">
        <is>
          <t>Profile</t>
        </is>
      </c>
      <c r="E19" s="32" t="inlineStr">
        <is>
          <t>Contact</t>
        </is>
      </c>
      <c r="F19" s="32" t="inlineStr">
        <is>
          <t>Client email and phone</t>
        </is>
      </c>
      <c r="G19" s="32" t="inlineStr">
        <is>
          <t>Secondary</t>
        </is>
      </c>
      <c r="H19" s="32" t="inlineStr">
        <is>
          <t>Text boxes</t>
        </is>
      </c>
      <c r="I19" s="32" t="inlineStr">
        <is>
          <t>Coach use only. Never on client screens</t>
        </is>
      </c>
      <c r="J19" s="32" t="n"/>
      <c r="K19" s="32" t="inlineStr">
        <is>
          <t>Client</t>
        </is>
      </c>
      <c r="L19" s="32" t="n"/>
      <c r="M19" s="32" t="inlineStr">
        <is>
          <t>Know it</t>
        </is>
      </c>
      <c r="N19" s="32" t="inlineStr">
        <is>
          <t>Low</t>
        </is>
      </c>
      <c r="O19" s="32" t="n"/>
      <c r="P19" s="32" t="inlineStr">
        <is>
          <t>Now</t>
        </is>
      </c>
      <c r="Q19" s="32" t="n"/>
      <c r="S19" s="10" t="inlineStr">
        <is>
          <t>My Money › Profile</t>
        </is>
      </c>
      <c r="T19" s="10" t="inlineStr">
        <is>
          <t>text</t>
        </is>
      </c>
      <c r="U19" s="10" t="inlineStr"/>
      <c r="V19" s="33" t="inlineStr">
        <is>
          <t>5</t>
        </is>
      </c>
    </row>
    <row r="20">
      <c r="A20" s="32" t="inlineStr">
        <is>
          <t>F018</t>
        </is>
      </c>
      <c r="B20" s="32" t="inlineStr">
        <is>
          <t>Not started</t>
        </is>
      </c>
      <c r="C20" s="32" t="inlineStr">
        <is>
          <t>Later</t>
        </is>
      </c>
      <c r="D20" s="32" t="inlineStr">
        <is>
          <t>Profile</t>
        </is>
      </c>
      <c r="E20" s="32" t="inlineStr">
        <is>
          <t>Money personality</t>
        </is>
      </c>
      <c r="F20" s="32" t="inlineStr">
        <is>
          <t>Money Mirror or personality quiz result</t>
        </is>
      </c>
      <c r="G20" s="32" t="inlineStr">
        <is>
          <t>Tertiary</t>
        </is>
      </c>
      <c r="H20" s="32" t="inlineStr">
        <is>
          <t>Link to quiz</t>
        </is>
      </c>
      <c r="I20" s="32" t="inlineStr">
        <is>
          <t>Coaching lens, not math</t>
        </is>
      </c>
      <c r="J20" s="32" t="n"/>
      <c r="K20" s="32" t="inlineStr">
        <is>
          <t>Client</t>
        </is>
      </c>
      <c r="L20" s="32" t="n"/>
      <c r="M20" s="32" t="inlineStr">
        <is>
          <t>All</t>
        </is>
      </c>
      <c r="N20" s="32" t="inlineStr">
        <is>
          <t>Low</t>
        </is>
      </c>
      <c r="O20" s="32" t="n"/>
      <c r="P20" s="32" t="inlineStr">
        <is>
          <t>Later</t>
        </is>
      </c>
      <c r="Q20" s="32" t="n"/>
      <c r="S20" s="10" t="inlineStr">
        <is>
          <t>My Money › Profile</t>
        </is>
      </c>
      <c r="T20" s="10" t="inlineStr">
        <is>
          <t>text</t>
        </is>
      </c>
      <c r="U20" s="10" t="inlineStr"/>
      <c r="V20" s="33" t="inlineStr">
        <is>
          <t>5</t>
        </is>
      </c>
    </row>
    <row r="21">
      <c r="A21" s="32" t="inlineStr">
        <is>
          <t>F019</t>
        </is>
      </c>
      <c r="B21" s="32" t="inlineStr">
        <is>
          <t>Not started</t>
        </is>
      </c>
      <c r="C21" s="32" t="inlineStr">
        <is>
          <t>Fast Track</t>
        </is>
      </c>
      <c r="D21" s="32" t="inlineStr">
        <is>
          <t>Income</t>
        </is>
      </c>
      <c r="E21" s="32" t="inlineStr">
        <is>
          <t>Main income</t>
        </is>
      </c>
      <c r="F21" s="32" t="inlineStr">
        <is>
          <t>Take-home pay</t>
        </is>
      </c>
      <c r="G21" s="32" t="inlineStr">
        <is>
          <t>Primary</t>
        </is>
      </c>
      <c r="H21" s="32" t="inlineStr">
        <is>
          <t>Amount plus 'per' picker (paycheck, month, year)</t>
        </is>
      </c>
      <c r="I21" s="32" t="inlineStr">
        <is>
          <t>Core of savings rate, DRAFTT shares, FI date</t>
        </is>
      </c>
      <c r="J21" s="32" t="inlineStr">
        <is>
          <t>Enter gross, take-home, or both; app solves for the other</t>
        </is>
      </c>
      <c r="K21" s="32" t="inlineStr">
        <is>
          <t>Client</t>
        </is>
      </c>
      <c r="L21" s="32" t="n"/>
      <c r="M21" s="32" t="inlineStr">
        <is>
          <t>All</t>
        </is>
      </c>
      <c r="N21" s="32" t="inlineStr">
        <is>
          <t>High</t>
        </is>
      </c>
      <c r="O21" s="32" t="n"/>
      <c r="P21" s="32" t="inlineStr">
        <is>
          <t>Now</t>
        </is>
      </c>
      <c r="Q21" s="32" t="inlineStr">
        <is>
          <t>ProjectionLab setup skips income, so no FI date at the end of setup</t>
        </is>
      </c>
      <c r="S21" s="10" t="inlineStr">
        <is>
          <t>My Money › Income</t>
        </is>
      </c>
      <c r="T21" s="10" t="inlineStr">
        <is>
          <t>money</t>
        </is>
      </c>
      <c r="U21" s="10" t="inlineStr"/>
      <c r="V21" s="33" t="inlineStr">
        <is>
          <t>5</t>
        </is>
      </c>
    </row>
    <row r="22">
      <c r="A22" s="32" t="inlineStr">
        <is>
          <t>F020</t>
        </is>
      </c>
      <c r="B22" s="32" t="inlineStr">
        <is>
          <t>Not started</t>
        </is>
      </c>
      <c r="C22" s="32" t="inlineStr">
        <is>
          <t>Fast Track</t>
        </is>
      </c>
      <c r="D22" s="32" t="inlineStr">
        <is>
          <t>Income</t>
        </is>
      </c>
      <c r="E22" s="32" t="inlineStr">
        <is>
          <t>Main income</t>
        </is>
      </c>
      <c r="F22" s="32" t="inlineStr">
        <is>
          <t>Pay frequency</t>
        </is>
      </c>
      <c r="G22" s="32" t="inlineStr">
        <is>
          <t>Primary</t>
        </is>
      </c>
      <c r="H22" s="32" t="inlineStr">
        <is>
          <t>Pick one: weekly, every 2 weeks, twice a month, monthly</t>
        </is>
      </c>
      <c r="I22" s="32" t="inlineStr">
        <is>
          <t>Per-paycheck budget view and 'bonus' 3-paycheck months</t>
        </is>
      </c>
      <c r="J22" s="32" t="n"/>
      <c r="K22" s="32" t="inlineStr">
        <is>
          <t>Client</t>
        </is>
      </c>
      <c r="L22" s="32" t="n"/>
      <c r="M22" s="32" t="inlineStr">
        <is>
          <t>All</t>
        </is>
      </c>
      <c r="N22" s="32" t="inlineStr">
        <is>
          <t>High</t>
        </is>
      </c>
      <c r="O22" s="32" t="n"/>
      <c r="P22" s="32" t="inlineStr">
        <is>
          <t>Now</t>
        </is>
      </c>
      <c r="Q22" s="32" t="n"/>
      <c r="S22" s="10" t="inlineStr">
        <is>
          <t>My Money › Income</t>
        </is>
      </c>
      <c r="T22" s="10" t="inlineStr">
        <is>
          <t>choice</t>
        </is>
      </c>
      <c r="U22" s="10" t="inlineStr">
        <is>
          <t>weekly, every 2 weeks, twice a month, monthly</t>
        </is>
      </c>
      <c r="V22" s="33" t="inlineStr">
        <is>
          <t>5</t>
        </is>
      </c>
    </row>
    <row r="23">
      <c r="A23" s="32" t="inlineStr">
        <is>
          <t>F021</t>
        </is>
      </c>
      <c r="B23" s="32" t="inlineStr">
        <is>
          <t>Not started</t>
        </is>
      </c>
      <c r="C23" s="32" t="inlineStr">
        <is>
          <t>Session 1</t>
        </is>
      </c>
      <c r="D23" s="32" t="inlineStr">
        <is>
          <t>Income</t>
        </is>
      </c>
      <c r="E23" s="32" t="inlineStr">
        <is>
          <t>Main income</t>
        </is>
      </c>
      <c r="F23" s="32" t="inlineStr">
        <is>
          <t>Gross salary</t>
        </is>
      </c>
      <c r="G23" s="32" t="inlineStr">
        <is>
          <t>Secondary</t>
        </is>
      </c>
      <c r="H23" s="32" t="inlineStr">
        <is>
          <t>Amount plus 'per' picker</t>
        </is>
      </c>
      <c r="I23" s="32" t="inlineStr">
        <is>
          <t>Taxes, match, contribution limits</t>
        </is>
      </c>
      <c r="J23" s="32" t="inlineStr">
        <is>
          <t>Solved from take-home if blank (marked Computed)</t>
        </is>
      </c>
      <c r="K23" s="32" t="inlineStr">
        <is>
          <t>Client</t>
        </is>
      </c>
      <c r="L23" s="32" t="n"/>
      <c r="M23" s="32" t="inlineStr">
        <is>
          <t>All</t>
        </is>
      </c>
      <c r="N23" s="32" t="inlineStr">
        <is>
          <t>High</t>
        </is>
      </c>
      <c r="O23" s="32" t="n"/>
      <c r="P23" s="32" t="inlineStr">
        <is>
          <t>Now</t>
        </is>
      </c>
      <c r="Q23" s="32" t="n"/>
      <c r="S23" s="10" t="inlineStr">
        <is>
          <t>My Money › Income</t>
        </is>
      </c>
      <c r="T23" s="10" t="inlineStr">
        <is>
          <t>money</t>
        </is>
      </c>
      <c r="U23" s="10" t="inlineStr"/>
      <c r="V23" s="33" t="inlineStr">
        <is>
          <t>5</t>
        </is>
      </c>
    </row>
    <row r="24">
      <c r="A24" s="32" t="inlineStr">
        <is>
          <t>F022</t>
        </is>
      </c>
      <c r="B24" s="32" t="inlineStr">
        <is>
          <t>Not started</t>
        </is>
      </c>
      <c r="C24" s="32" t="inlineStr">
        <is>
          <t>Session 1</t>
        </is>
      </c>
      <c r="D24" s="32" t="inlineStr">
        <is>
          <t>Income</t>
        </is>
      </c>
      <c r="E24" s="32" t="inlineStr">
        <is>
          <t>Main income</t>
        </is>
      </c>
      <c r="F24" s="32" t="inlineStr">
        <is>
          <t>Employer or source name</t>
        </is>
      </c>
      <c r="G24" s="32" t="inlineStr">
        <is>
          <t>Secondary</t>
        </is>
      </c>
      <c r="H24" s="32" t="inlineStr">
        <is>
          <t>Text box</t>
        </is>
      </c>
      <c r="I24" s="32" t="inlineStr">
        <is>
          <t>Labels the row</t>
        </is>
      </c>
      <c r="J24" s="32" t="n"/>
      <c r="K24" s="32" t="inlineStr">
        <is>
          <t>Client</t>
        </is>
      </c>
      <c r="L24" s="32" t="n"/>
      <c r="M24" s="32" t="inlineStr">
        <is>
          <t>Know it</t>
        </is>
      </c>
      <c r="N24" s="32" t="inlineStr">
        <is>
          <t>Low</t>
        </is>
      </c>
      <c r="O24" s="32" t="n"/>
      <c r="P24" s="32" t="inlineStr">
        <is>
          <t>Now</t>
        </is>
      </c>
      <c r="Q24" s="32" t="n"/>
      <c r="S24" s="10" t="inlineStr">
        <is>
          <t>My Money › Income</t>
        </is>
      </c>
      <c r="T24" s="10" t="inlineStr">
        <is>
          <t>text</t>
        </is>
      </c>
      <c r="U24" s="10" t="inlineStr"/>
      <c r="V24" s="33" t="inlineStr">
        <is>
          <t>5</t>
        </is>
      </c>
    </row>
    <row r="25">
      <c r="A25" s="32" t="inlineStr">
        <is>
          <t>F023</t>
        </is>
      </c>
      <c r="B25" s="32" t="inlineStr">
        <is>
          <t>Not started</t>
        </is>
      </c>
      <c r="C25" s="32" t="inlineStr">
        <is>
          <t>Session 1</t>
        </is>
      </c>
      <c r="D25" s="32" t="inlineStr">
        <is>
          <t>Income</t>
        </is>
      </c>
      <c r="E25" s="32" t="inlineStr">
        <is>
          <t>Main income</t>
        </is>
      </c>
      <c r="F25" s="32" t="inlineStr">
        <is>
          <t>Income type</t>
        </is>
      </c>
      <c r="G25" s="32" t="inlineStr">
        <is>
          <t>Secondary</t>
        </is>
      </c>
      <c r="H25" s="32" t="inlineStr">
        <is>
          <t>Pick one: W-2, 1099, business, side hustle, rental, benefits, other</t>
        </is>
      </c>
      <c r="I25" s="32" t="inlineStr">
        <is>
          <t>Tax treatment and stability</t>
        </is>
      </c>
      <c r="J25" s="32" t="n"/>
      <c r="K25" s="32" t="inlineStr">
        <is>
          <t>Client</t>
        </is>
      </c>
      <c r="L25" s="32" t="n"/>
      <c r="M25" s="32" t="inlineStr">
        <is>
          <t>All</t>
        </is>
      </c>
      <c r="N25" s="32" t="inlineStr">
        <is>
          <t>Medium</t>
        </is>
      </c>
      <c r="O25" s="32" t="n"/>
      <c r="P25" s="32" t="inlineStr">
        <is>
          <t>Now</t>
        </is>
      </c>
      <c r="Q25" s="32" t="n"/>
      <c r="S25" s="10" t="inlineStr">
        <is>
          <t>My Money › Income</t>
        </is>
      </c>
      <c r="T25" s="10" t="inlineStr">
        <is>
          <t>choice</t>
        </is>
      </c>
      <c r="U25" s="10" t="inlineStr">
        <is>
          <t>W-2, 1099, business, side hustle, rental, benefits, other</t>
        </is>
      </c>
      <c r="V25" s="33" t="inlineStr">
        <is>
          <t>5</t>
        </is>
      </c>
    </row>
    <row r="26">
      <c r="A26" s="32" t="inlineStr">
        <is>
          <t>F024</t>
        </is>
      </c>
      <c r="B26" s="32" t="inlineStr">
        <is>
          <t>Not started</t>
        </is>
      </c>
      <c r="C26" s="32" t="inlineStr">
        <is>
          <t>Session 1</t>
        </is>
      </c>
      <c r="D26" s="32" t="inlineStr">
        <is>
          <t>Income</t>
        </is>
      </c>
      <c r="E26" s="32" t="inlineStr">
        <is>
          <t>Main income</t>
        </is>
      </c>
      <c r="F26" s="32" t="inlineStr">
        <is>
          <t>Bonus amount and month</t>
        </is>
      </c>
      <c r="G26" s="32" t="inlineStr">
        <is>
          <t>Secondary</t>
        </is>
      </c>
      <c r="H26" s="32" t="inlineStr">
        <is>
          <t>Amount plus month</t>
        </is>
      </c>
      <c r="I26" s="32" t="inlineStr">
        <is>
          <t>Windfall waterfall and cash flow calendar</t>
        </is>
      </c>
      <c r="J26" s="32" t="n"/>
      <c r="K26" s="32" t="inlineStr">
        <is>
          <t>Client</t>
        </is>
      </c>
      <c r="L26" s="32" t="inlineStr">
        <is>
          <t>Often</t>
        </is>
      </c>
      <c r="M26" s="32" t="inlineStr">
        <is>
          <t>All</t>
        </is>
      </c>
      <c r="N26" s="32" t="inlineStr">
        <is>
          <t>Medium</t>
        </is>
      </c>
      <c r="O26" s="32" t="n"/>
      <c r="P26" s="32" t="inlineStr">
        <is>
          <t>Now</t>
        </is>
      </c>
      <c r="Q26" s="32" t="n"/>
      <c r="S26" s="10" t="inlineStr">
        <is>
          <t>My Money › Income</t>
        </is>
      </c>
      <c r="T26" s="10" t="inlineStr">
        <is>
          <t>money</t>
        </is>
      </c>
      <c r="U26" s="10" t="inlineStr"/>
      <c r="V26" s="33" t="inlineStr">
        <is>
          <t>5</t>
        </is>
      </c>
    </row>
    <row r="27">
      <c r="A27" s="32" t="inlineStr">
        <is>
          <t>F025</t>
        </is>
      </c>
      <c r="B27" s="32" t="inlineStr">
        <is>
          <t>Not started</t>
        </is>
      </c>
      <c r="C27" s="32" t="inlineStr">
        <is>
          <t>Session 2+</t>
        </is>
      </c>
      <c r="D27" s="32" t="inlineStr">
        <is>
          <t>Income</t>
        </is>
      </c>
      <c r="E27" s="32" t="inlineStr">
        <is>
          <t>Main income</t>
        </is>
      </c>
      <c r="F27" s="32" t="inlineStr">
        <is>
          <t>Expected raise %</t>
        </is>
      </c>
      <c r="G27" s="32" t="inlineStr">
        <is>
          <t>Tertiary</t>
        </is>
      </c>
      <c r="H27" s="32" t="inlineStr">
        <is>
          <t>Percent box</t>
        </is>
      </c>
      <c r="I27" s="32" t="inlineStr">
        <is>
          <t>Projection engine</t>
        </is>
      </c>
      <c r="J27" s="32" t="n"/>
      <c r="K27" s="32" t="inlineStr">
        <is>
          <t>Coach guesstimate</t>
        </is>
      </c>
      <c r="L27" s="32" t="n"/>
      <c r="M27" s="32" t="inlineStr">
        <is>
          <t>All</t>
        </is>
      </c>
      <c r="N27" s="32" t="inlineStr">
        <is>
          <t>Medium</t>
        </is>
      </c>
      <c r="O27" s="32" t="n"/>
      <c r="P27" s="32" t="inlineStr">
        <is>
          <t>Now</t>
        </is>
      </c>
      <c r="Q27" s="32" t="n"/>
      <c r="S27" s="10" t="inlineStr">
        <is>
          <t>My Money › Income</t>
        </is>
      </c>
      <c r="T27" s="10" t="inlineStr">
        <is>
          <t>percent</t>
        </is>
      </c>
      <c r="U27" s="10" t="inlineStr"/>
      <c r="V27" s="33" t="inlineStr">
        <is>
          <t>5</t>
        </is>
      </c>
    </row>
    <row r="28">
      <c r="A28" s="32" t="inlineStr">
        <is>
          <t>F026</t>
        </is>
      </c>
      <c r="B28" s="32" t="inlineStr">
        <is>
          <t>Not started</t>
        </is>
      </c>
      <c r="C28" s="32" t="inlineStr">
        <is>
          <t>Session 1</t>
        </is>
      </c>
      <c r="D28" s="32" t="inlineStr">
        <is>
          <t>Income</t>
        </is>
      </c>
      <c r="E28" s="32" t="inlineStr">
        <is>
          <t>Paycheck deductions</t>
        </is>
      </c>
      <c r="F28" s="32" t="inlineStr">
        <is>
          <t>401(k) or 403(b) contribution %</t>
        </is>
      </c>
      <c r="G28" s="32" t="inlineStr">
        <is>
          <t>Secondary</t>
        </is>
      </c>
      <c r="H28" s="32" t="inlineStr">
        <is>
          <t>Percent box</t>
        </is>
      </c>
      <c r="I28" s="32" t="inlineStr">
        <is>
          <t>Savings rate (pretax counts), limit tracking</t>
        </is>
      </c>
      <c r="J28" s="32" t="n"/>
      <c r="K28" s="32" t="inlineStr">
        <is>
          <t>Client</t>
        </is>
      </c>
      <c r="L28" s="32" t="inlineStr">
        <is>
          <t>Often</t>
        </is>
      </c>
      <c r="M28" s="32" t="inlineStr">
        <is>
          <t>All</t>
        </is>
      </c>
      <c r="N28" s="32" t="inlineStr">
        <is>
          <t>High</t>
        </is>
      </c>
      <c r="O28" s="32" t="n"/>
      <c r="P28" s="32" t="inlineStr">
        <is>
          <t>Now</t>
        </is>
      </c>
      <c r="Q28" s="32" t="inlineStr">
        <is>
          <t>Paystub is the source</t>
        </is>
      </c>
      <c r="S28" s="10" t="inlineStr">
        <is>
          <t>My Money › Income</t>
        </is>
      </c>
      <c r="T28" s="10" t="inlineStr">
        <is>
          <t>percent</t>
        </is>
      </c>
      <c r="U28" s="10" t="inlineStr"/>
      <c r="V28" s="33" t="inlineStr">
        <is>
          <t>5</t>
        </is>
      </c>
    </row>
    <row r="29">
      <c r="A29" s="32" t="inlineStr">
        <is>
          <t>F027</t>
        </is>
      </c>
      <c r="B29" s="32" t="inlineStr">
        <is>
          <t>Not started</t>
        </is>
      </c>
      <c r="C29" s="32" t="inlineStr">
        <is>
          <t>Session 1</t>
        </is>
      </c>
      <c r="D29" s="32" t="inlineStr">
        <is>
          <t>Income</t>
        </is>
      </c>
      <c r="E29" s="32" t="inlineStr">
        <is>
          <t>Paycheck deductions</t>
        </is>
      </c>
      <c r="F29" s="32" t="inlineStr">
        <is>
          <t>Health premium per paycheck</t>
        </is>
      </c>
      <c r="G29" s="32" t="inlineStr">
        <is>
          <t>Secondary</t>
        </is>
      </c>
      <c r="H29" s="32" t="inlineStr">
        <is>
          <t>Amount</t>
        </is>
      </c>
      <c r="I29" s="32" t="inlineStr">
        <is>
          <t>Take-home reconciliation</t>
        </is>
      </c>
      <c r="J29" s="32" t="n"/>
      <c r="K29" s="32" t="inlineStr">
        <is>
          <t>Client</t>
        </is>
      </c>
      <c r="L29" s="32" t="inlineStr">
        <is>
          <t>Often</t>
        </is>
      </c>
      <c r="M29" s="32" t="inlineStr">
        <is>
          <t>All</t>
        </is>
      </c>
      <c r="N29" s="32" t="inlineStr">
        <is>
          <t>Medium</t>
        </is>
      </c>
      <c r="O29" s="32" t="n"/>
      <c r="P29" s="32" t="inlineStr">
        <is>
          <t>Now</t>
        </is>
      </c>
      <c r="Q29" s="32" t="n"/>
      <c r="S29" s="10" t="inlineStr">
        <is>
          <t>My Money › Income</t>
        </is>
      </c>
      <c r="T29" s="10" t="inlineStr">
        <is>
          <t>money</t>
        </is>
      </c>
      <c r="U29" s="10" t="inlineStr"/>
      <c r="V29" s="33" t="inlineStr">
        <is>
          <t>5</t>
        </is>
      </c>
    </row>
    <row r="30">
      <c r="A30" s="32" t="inlineStr">
        <is>
          <t>F028</t>
        </is>
      </c>
      <c r="B30" s="32" t="inlineStr">
        <is>
          <t>Not started</t>
        </is>
      </c>
      <c r="C30" s="32" t="inlineStr">
        <is>
          <t>Session 2+</t>
        </is>
      </c>
      <c r="D30" s="32" t="inlineStr">
        <is>
          <t>Income</t>
        </is>
      </c>
      <c r="E30" s="32" t="inlineStr">
        <is>
          <t>Paycheck deductions</t>
        </is>
      </c>
      <c r="F30" s="32" t="inlineStr">
        <is>
          <t>HSA or FSA per paycheck</t>
        </is>
      </c>
      <c r="G30" s="32" t="inlineStr">
        <is>
          <t>Tertiary</t>
        </is>
      </c>
      <c r="H30" s="32" t="inlineStr">
        <is>
          <t>Amount</t>
        </is>
      </c>
      <c r="I30" s="32" t="inlineStr">
        <is>
          <t>Savings rate and HSA limit</t>
        </is>
      </c>
      <c r="J30" s="32" t="n"/>
      <c r="K30" s="32" t="inlineStr">
        <is>
          <t>Client</t>
        </is>
      </c>
      <c r="L30" s="32" t="inlineStr">
        <is>
          <t>Often</t>
        </is>
      </c>
      <c r="M30" s="32" t="inlineStr">
        <is>
          <t>All</t>
        </is>
      </c>
      <c r="N30" s="32" t="inlineStr">
        <is>
          <t>Medium</t>
        </is>
      </c>
      <c r="O30" s="32" t="n"/>
      <c r="P30" s="32" t="inlineStr">
        <is>
          <t>Now</t>
        </is>
      </c>
      <c r="Q30" s="32" t="n"/>
      <c r="S30" s="10" t="inlineStr">
        <is>
          <t>My Money › Income</t>
        </is>
      </c>
      <c r="T30" s="10" t="inlineStr">
        <is>
          <t>money</t>
        </is>
      </c>
      <c r="U30" s="10" t="inlineStr"/>
      <c r="V30" s="33" t="inlineStr">
        <is>
          <t>5</t>
        </is>
      </c>
    </row>
    <row r="31">
      <c r="A31" s="32" t="inlineStr">
        <is>
          <t>F029</t>
        </is>
      </c>
      <c r="B31" s="32" t="inlineStr">
        <is>
          <t>Not started</t>
        </is>
      </c>
      <c r="C31" s="32" t="inlineStr">
        <is>
          <t>Session 2+</t>
        </is>
      </c>
      <c r="D31" s="32" t="inlineStr">
        <is>
          <t>Income</t>
        </is>
      </c>
      <c r="E31" s="32" t="inlineStr">
        <is>
          <t>Paycheck deductions</t>
        </is>
      </c>
      <c r="F31" s="32" t="inlineStr">
        <is>
          <t>Other pretax deductions (commuter, life, disability)</t>
        </is>
      </c>
      <c r="G31" s="32" t="inlineStr">
        <is>
          <t>Tertiary</t>
        </is>
      </c>
      <c r="H31" s="32" t="inlineStr">
        <is>
          <t>Amount list</t>
        </is>
      </c>
      <c r="I31" s="32" t="inlineStr">
        <is>
          <t>Gross to net bridge</t>
        </is>
      </c>
      <c r="J31" s="32" t="n"/>
      <c r="K31" s="32" t="inlineStr">
        <is>
          <t>Client</t>
        </is>
      </c>
      <c r="L31" s="32" t="inlineStr">
        <is>
          <t>Often</t>
        </is>
      </c>
      <c r="M31" s="32" t="inlineStr">
        <is>
          <t>All</t>
        </is>
      </c>
      <c r="N31" s="32" t="inlineStr">
        <is>
          <t>Low</t>
        </is>
      </c>
      <c r="O31" s="32" t="n"/>
      <c r="P31" s="32" t="inlineStr">
        <is>
          <t>Now</t>
        </is>
      </c>
      <c r="Q31" s="32" t="n"/>
      <c r="S31" s="10" t="inlineStr">
        <is>
          <t>My Money › Income</t>
        </is>
      </c>
      <c r="T31" s="10" t="inlineStr">
        <is>
          <t>money</t>
        </is>
      </c>
      <c r="U31" s="10" t="inlineStr"/>
      <c r="V31" s="33" t="inlineStr">
        <is>
          <t>5</t>
        </is>
      </c>
    </row>
    <row r="32">
      <c r="A32" s="32" t="inlineStr">
        <is>
          <t>F030</t>
        </is>
      </c>
      <c r="B32" s="32" t="inlineStr">
        <is>
          <t>Not started</t>
        </is>
      </c>
      <c r="C32" s="32" t="inlineStr">
        <is>
          <t>Session 1</t>
        </is>
      </c>
      <c r="D32" s="32" t="inlineStr">
        <is>
          <t>Income</t>
        </is>
      </c>
      <c r="E32" s="32" t="inlineStr">
        <is>
          <t>Employer match</t>
        </is>
      </c>
      <c r="F32" s="32" t="inlineStr">
        <is>
          <t>Match formula</t>
        </is>
      </c>
      <c r="G32" s="32" t="inlineStr">
        <is>
          <t>Secondary</t>
        </is>
      </c>
      <c r="H32" s="32" t="inlineStr">
        <is>
          <t>Two boxes: match % up to % of pay</t>
        </is>
      </c>
      <c r="I32" s="32" t="inlineStr">
        <is>
          <t>Free money check, waterfall step 1</t>
        </is>
      </c>
      <c r="J32" s="32" t="n"/>
      <c r="K32" s="32" t="inlineStr">
        <is>
          <t>Client</t>
        </is>
      </c>
      <c r="L32" s="32" t="inlineStr">
        <is>
          <t>Often</t>
        </is>
      </c>
      <c r="M32" s="32" t="inlineStr">
        <is>
          <t>All</t>
        </is>
      </c>
      <c r="N32" s="32" t="inlineStr">
        <is>
          <t>High</t>
        </is>
      </c>
      <c r="O32" s="32" t="n"/>
      <c r="P32" s="32" t="inlineStr">
        <is>
          <t>Now</t>
        </is>
      </c>
      <c r="Q32" s="32" t="n"/>
      <c r="S32" s="10" t="inlineStr">
        <is>
          <t>My Money › Income</t>
        </is>
      </c>
      <c r="T32" s="10" t="inlineStr">
        <is>
          <t>text</t>
        </is>
      </c>
      <c r="U32" s="10" t="inlineStr"/>
      <c r="V32" s="33" t="inlineStr">
        <is>
          <t>5</t>
        </is>
      </c>
    </row>
    <row r="33">
      <c r="A33" s="32" t="inlineStr">
        <is>
          <t>F031</t>
        </is>
      </c>
      <c r="B33" s="32" t="inlineStr">
        <is>
          <t>Not started</t>
        </is>
      </c>
      <c r="C33" s="32" t="inlineStr">
        <is>
          <t>Session 2+</t>
        </is>
      </c>
      <c r="D33" s="32" t="inlineStr">
        <is>
          <t>Income</t>
        </is>
      </c>
      <c r="E33" s="32" t="inlineStr">
        <is>
          <t>Employer match</t>
        </is>
      </c>
      <c r="F33" s="32" t="inlineStr">
        <is>
          <t>Vesting schedule</t>
        </is>
      </c>
      <c r="G33" s="32" t="inlineStr">
        <is>
          <t>Tertiary</t>
        </is>
      </c>
      <c r="H33" s="32" t="inlineStr">
        <is>
          <t>Pick: immediate, cliff, graded, plus years</t>
        </is>
      </c>
      <c r="I33" s="32" t="inlineStr">
        <is>
          <t>Unvested match shown separately but recognized (Oct 27)</t>
        </is>
      </c>
      <c r="J33" s="32" t="n"/>
      <c r="K33" s="32" t="inlineStr">
        <is>
          <t>Client</t>
        </is>
      </c>
      <c r="L33" s="32" t="inlineStr">
        <is>
          <t>Often</t>
        </is>
      </c>
      <c r="M33" s="32" t="inlineStr">
        <is>
          <t>All</t>
        </is>
      </c>
      <c r="N33" s="32" t="inlineStr">
        <is>
          <t>Medium</t>
        </is>
      </c>
      <c r="O33" s="32" t="n"/>
      <c r="P33" s="32" t="inlineStr">
        <is>
          <t>Now</t>
        </is>
      </c>
      <c r="Q33" s="32" t="n"/>
      <c r="S33" s="10" t="inlineStr">
        <is>
          <t>My Money › Income</t>
        </is>
      </c>
      <c r="T33" s="10" t="inlineStr">
        <is>
          <t>choice</t>
        </is>
      </c>
      <c r="U33" s="10" t="inlineStr">
        <is>
          <t>immediate, cliff, graded, plus years</t>
        </is>
      </c>
      <c r="V33" s="33" t="inlineStr">
        <is>
          <t>5</t>
        </is>
      </c>
    </row>
    <row r="34">
      <c r="A34" s="32" t="inlineStr">
        <is>
          <t>F032</t>
        </is>
      </c>
      <c r="B34" s="32" t="inlineStr">
        <is>
          <t>Not started</t>
        </is>
      </c>
      <c r="C34" s="32" t="inlineStr">
        <is>
          <t>Session 1</t>
        </is>
      </c>
      <c r="D34" s="32" t="inlineStr">
        <is>
          <t>Income</t>
        </is>
      </c>
      <c r="E34" s="32" t="inlineStr">
        <is>
          <t>Side income</t>
        </is>
      </c>
      <c r="F34" s="32" t="inlineStr">
        <is>
          <t>Side hustle income</t>
        </is>
      </c>
      <c r="G34" s="32" t="inlineStr">
        <is>
          <t>Secondary</t>
        </is>
      </c>
      <c r="H34" s="32" t="inlineStr">
        <is>
          <t>Amount with low, typical, high</t>
        </is>
      </c>
      <c r="I34" s="32" t="inlineStr">
        <is>
          <t>Variable income and Triple D</t>
        </is>
      </c>
      <c r="J34" s="32" t="inlineStr">
        <is>
          <t>Add, duplicate</t>
        </is>
      </c>
      <c r="K34" s="32" t="inlineStr">
        <is>
          <t>Client</t>
        </is>
      </c>
      <c r="L34" s="32" t="n"/>
      <c r="M34" s="32" t="inlineStr">
        <is>
          <t>All</t>
        </is>
      </c>
      <c r="N34" s="32" t="inlineStr">
        <is>
          <t>Medium</t>
        </is>
      </c>
      <c r="O34" s="32" t="n"/>
      <c r="P34" s="32" t="inlineStr">
        <is>
          <t>Now</t>
        </is>
      </c>
      <c r="Q34" s="32" t="n"/>
      <c r="S34" s="10" t="inlineStr">
        <is>
          <t>My Money › Income</t>
        </is>
      </c>
      <c r="T34" s="10" t="inlineStr">
        <is>
          <t>money</t>
        </is>
      </c>
      <c r="U34" s="10" t="inlineStr"/>
      <c r="V34" s="33" t="inlineStr">
        <is>
          <t>5</t>
        </is>
      </c>
    </row>
    <row r="35">
      <c r="A35" s="32" t="inlineStr">
        <is>
          <t>F033</t>
        </is>
      </c>
      <c r="B35" s="32" t="inlineStr">
        <is>
          <t>Not started</t>
        </is>
      </c>
      <c r="C35" s="32" t="inlineStr">
        <is>
          <t>Session 1</t>
        </is>
      </c>
      <c r="D35" s="32" t="inlineStr">
        <is>
          <t>Income</t>
        </is>
      </c>
      <c r="E35" s="32" t="inlineStr">
        <is>
          <t>Partner income</t>
        </is>
      </c>
      <c r="F35" s="32" t="inlineStr">
        <is>
          <t>Partner take-home pay</t>
        </is>
      </c>
      <c r="G35" s="32" t="inlineStr">
        <is>
          <t>Primary</t>
        </is>
      </c>
      <c r="H35" s="32" t="inlineStr">
        <is>
          <t>Amount plus 'per' picker</t>
        </is>
      </c>
      <c r="I35" s="32" t="inlineStr">
        <is>
          <t>Couples only. Household savings rate</t>
        </is>
      </c>
      <c r="J35" s="32" t="n"/>
      <c r="K35" s="32" t="inlineStr">
        <is>
          <t>Client</t>
        </is>
      </c>
      <c r="L35" s="32" t="n"/>
      <c r="M35" s="32" t="inlineStr">
        <is>
          <t>All</t>
        </is>
      </c>
      <c r="N35" s="32" t="inlineStr">
        <is>
          <t>High</t>
        </is>
      </c>
      <c r="O35" s="32" t="n"/>
      <c r="P35" s="32" t="inlineStr">
        <is>
          <t>Now</t>
        </is>
      </c>
      <c r="Q35" s="32" t="n"/>
      <c r="S35" s="10" t="inlineStr">
        <is>
          <t>My Money › Income</t>
        </is>
      </c>
      <c r="T35" s="10" t="inlineStr">
        <is>
          <t>money</t>
        </is>
      </c>
      <c r="U35" s="10" t="inlineStr"/>
      <c r="V35" s="33" t="inlineStr">
        <is>
          <t>5</t>
        </is>
      </c>
    </row>
    <row r="36">
      <c r="A36" s="32" t="inlineStr">
        <is>
          <t>F034</t>
        </is>
      </c>
      <c r="B36" s="32" t="inlineStr">
        <is>
          <t>Not started</t>
        </is>
      </c>
      <c r="C36" s="32" t="inlineStr">
        <is>
          <t>Session 2+</t>
        </is>
      </c>
      <c r="D36" s="32" t="inlineStr">
        <is>
          <t>Income</t>
        </is>
      </c>
      <c r="E36" s="32" t="inlineStr">
        <is>
          <t>Benefits</t>
        </is>
      </c>
      <c r="F36" s="32" t="inlineStr">
        <is>
          <t>Unemployment or other benefits</t>
        </is>
      </c>
      <c r="G36" s="32" t="inlineStr">
        <is>
          <t>Tertiary</t>
        </is>
      </c>
      <c r="H36" s="32" t="inlineStr">
        <is>
          <t>Amount plus end date</t>
        </is>
      </c>
      <c r="I36" s="32" t="inlineStr">
        <is>
          <t>Between-jobs runway</t>
        </is>
      </c>
      <c r="J36" s="32" t="n"/>
      <c r="K36" s="32" t="inlineStr">
        <is>
          <t>Client</t>
        </is>
      </c>
      <c r="L36" s="32" t="n"/>
      <c r="M36" s="32" t="inlineStr">
        <is>
          <t>All</t>
        </is>
      </c>
      <c r="N36" s="32" t="inlineStr">
        <is>
          <t>Medium</t>
        </is>
      </c>
      <c r="O36" s="32" t="n"/>
      <c r="P36" s="32" t="inlineStr">
        <is>
          <t>Now</t>
        </is>
      </c>
      <c r="Q36" s="32" t="n"/>
      <c r="S36" s="10" t="inlineStr">
        <is>
          <t>My Money › Income</t>
        </is>
      </c>
      <c r="T36" s="10" t="inlineStr">
        <is>
          <t>money</t>
        </is>
      </c>
      <c r="U36" s="10" t="inlineStr"/>
      <c r="V36" s="33" t="inlineStr">
        <is>
          <t>5</t>
        </is>
      </c>
    </row>
    <row r="37">
      <c r="A37" s="32" t="inlineStr">
        <is>
          <t>F035</t>
        </is>
      </c>
      <c r="B37" s="32" t="inlineStr">
        <is>
          <t>Not started</t>
        </is>
      </c>
      <c r="C37" s="32" t="inlineStr">
        <is>
          <t>Monthly</t>
        </is>
      </c>
      <c r="D37" s="32" t="inlineStr">
        <is>
          <t>Income</t>
        </is>
      </c>
      <c r="E37" s="32" t="inlineStr">
        <is>
          <t>Actuals</t>
        </is>
      </c>
      <c r="F37" s="32" t="inlineStr">
        <is>
          <t>Actual income from cash flow log</t>
        </is>
      </c>
      <c r="G37" s="32" t="inlineStr">
        <is>
          <t>Secondary</t>
        </is>
      </c>
      <c r="H37" s="32" t="inlineStr">
        <is>
          <t>Computed from log</t>
        </is>
      </c>
      <c r="I37" s="32" t="inlineStr">
        <is>
          <t>Estimated vs actual income</t>
        </is>
      </c>
      <c r="J37" s="32" t="n"/>
      <c r="K37" s="32" t="inlineStr">
        <is>
          <t>Computed</t>
        </is>
      </c>
      <c r="L37" s="32" t="n"/>
      <c r="M37" s="32" t="inlineStr">
        <is>
          <t>Computed</t>
        </is>
      </c>
      <c r="N37" s="32" t="inlineStr">
        <is>
          <t>High</t>
        </is>
      </c>
      <c r="O37" s="32" t="n"/>
      <c r="P37" s="32" t="inlineStr">
        <is>
          <t>Now</t>
        </is>
      </c>
      <c r="Q37" s="32" t="inlineStr">
        <is>
          <t>Ice cream sandwich loop</t>
        </is>
      </c>
      <c r="S37" s="10" t="inlineStr">
        <is>
          <t>My Money › Income</t>
        </is>
      </c>
      <c r="T37" s="10" t="inlineStr">
        <is>
          <t>computed</t>
        </is>
      </c>
      <c r="U37" s="10" t="inlineStr"/>
      <c r="V37" s="33" t="inlineStr">
        <is>
          <t>5</t>
        </is>
      </c>
    </row>
    <row r="38">
      <c r="A38" s="32" t="inlineStr">
        <is>
          <t>F036</t>
        </is>
      </c>
      <c r="B38" s="32" t="inlineStr">
        <is>
          <t>Not started</t>
        </is>
      </c>
      <c r="C38" s="32" t="inlineStr">
        <is>
          <t>Session 1</t>
        </is>
      </c>
      <c r="D38" s="32" t="inlineStr">
        <is>
          <t>Taxes</t>
        </is>
      </c>
      <c r="E38" s="32" t="inlineStr">
        <is>
          <t>Filing</t>
        </is>
      </c>
      <c r="F38" s="32" t="inlineStr">
        <is>
          <t>Filing status</t>
        </is>
      </c>
      <c r="G38" s="32" t="inlineStr">
        <is>
          <t>Secondary</t>
        </is>
      </c>
      <c r="H38" s="32" t="inlineStr">
        <is>
          <t>Pick one: single, married joint, married separate, head of household</t>
        </is>
      </c>
      <c r="I38" s="32" t="inlineStr">
        <is>
          <t>Federal brackets and standard deduction</t>
        </is>
      </c>
      <c r="J38" s="32" t="n"/>
      <c r="K38" s="32" t="inlineStr">
        <is>
          <t>Client</t>
        </is>
      </c>
      <c r="L38" s="32" t="n"/>
      <c r="M38" s="32" t="inlineStr">
        <is>
          <t>Know it</t>
        </is>
      </c>
      <c r="N38" s="32" t="inlineStr">
        <is>
          <t>High</t>
        </is>
      </c>
      <c r="O38" s="32" t="n"/>
      <c r="P38" s="32" t="inlineStr">
        <is>
          <t>Now</t>
        </is>
      </c>
      <c r="Q38" s="32" t="n"/>
      <c r="S38" s="10" t="inlineStr">
        <is>
          <t>My Money › Taxes</t>
        </is>
      </c>
      <c r="T38" s="10" t="inlineStr">
        <is>
          <t>choice</t>
        </is>
      </c>
      <c r="U38" s="10" t="inlineStr">
        <is>
          <t>single, married joint, married separate, head of household</t>
        </is>
      </c>
      <c r="V38" s="33" t="inlineStr">
        <is>
          <t>5</t>
        </is>
      </c>
    </row>
    <row r="39">
      <c r="A39" s="32" t="inlineStr">
        <is>
          <t>F037</t>
        </is>
      </c>
      <c r="B39" s="32" t="inlineStr">
        <is>
          <t>Not started</t>
        </is>
      </c>
      <c r="C39" s="32" t="inlineStr">
        <is>
          <t>Session 1</t>
        </is>
      </c>
      <c r="D39" s="32" t="inlineStr">
        <is>
          <t>Taxes</t>
        </is>
      </c>
      <c r="E39" s="32" t="inlineStr">
        <is>
          <t>Filing</t>
        </is>
      </c>
      <c r="F39" s="32" t="inlineStr">
        <is>
          <t>Last year refund or amount owed</t>
        </is>
      </c>
      <c r="G39" s="32" t="inlineStr">
        <is>
          <t>Secondary</t>
        </is>
      </c>
      <c r="H39" s="32" t="inlineStr">
        <is>
          <t>Amount with refund or owed toggle</t>
        </is>
      </c>
      <c r="I39" s="32" t="inlineStr">
        <is>
          <t>Withholding check</t>
        </is>
      </c>
      <c r="J39" s="32" t="n"/>
      <c r="K39" s="32" t="inlineStr">
        <is>
          <t>Client</t>
        </is>
      </c>
      <c r="L39" s="32" t="inlineStr">
        <is>
          <t>Often</t>
        </is>
      </c>
      <c r="M39" s="32" t="inlineStr">
        <is>
          <t>All</t>
        </is>
      </c>
      <c r="N39" s="32" t="inlineStr">
        <is>
          <t>Medium</t>
        </is>
      </c>
      <c r="O39" s="32" t="n"/>
      <c r="P39" s="32" t="inlineStr">
        <is>
          <t>Now</t>
        </is>
      </c>
      <c r="Q39" s="32" t="n"/>
      <c r="S39" s="10" t="inlineStr">
        <is>
          <t>My Money › Taxes</t>
        </is>
      </c>
      <c r="T39" s="10" t="inlineStr">
        <is>
          <t>money</t>
        </is>
      </c>
      <c r="U39" s="10" t="inlineStr"/>
      <c r="V39" s="33" t="inlineStr">
        <is>
          <t>5</t>
        </is>
      </c>
    </row>
    <row r="40">
      <c r="A40" s="32" t="inlineStr">
        <is>
          <t>F038</t>
        </is>
      </c>
      <c r="B40" s="32" t="inlineStr">
        <is>
          <t>Not started</t>
        </is>
      </c>
      <c r="C40" s="32" t="inlineStr">
        <is>
          <t>Session 2+</t>
        </is>
      </c>
      <c r="D40" s="32" t="inlineStr">
        <is>
          <t>Taxes</t>
        </is>
      </c>
      <c r="E40" s="32" t="inlineStr">
        <is>
          <t>Filing</t>
        </is>
      </c>
      <c r="F40" s="32" t="inlineStr">
        <is>
          <t>Quarterly estimates paid (1099)</t>
        </is>
      </c>
      <c r="G40" s="32" t="inlineStr">
        <is>
          <t>Tertiary</t>
        </is>
      </c>
      <c r="H40" s="32" t="inlineStr">
        <is>
          <t>Amount per quarter</t>
        </is>
      </c>
      <c r="I40" s="32" t="inlineStr">
        <is>
          <t>Self-employed only</t>
        </is>
      </c>
      <c r="J40" s="32" t="n"/>
      <c r="K40" s="32" t="inlineStr">
        <is>
          <t>Client</t>
        </is>
      </c>
      <c r="L40" s="32" t="inlineStr">
        <is>
          <t>Often</t>
        </is>
      </c>
      <c r="M40" s="32" t="inlineStr">
        <is>
          <t>All</t>
        </is>
      </c>
      <c r="N40" s="32" t="inlineStr">
        <is>
          <t>Medium</t>
        </is>
      </c>
      <c r="O40" s="32" t="n"/>
      <c r="P40" s="32" t="inlineStr">
        <is>
          <t>Now</t>
        </is>
      </c>
      <c r="Q40" s="32" t="n"/>
      <c r="S40" s="10" t="inlineStr">
        <is>
          <t>My Money › Taxes</t>
        </is>
      </c>
      <c r="T40" s="10" t="inlineStr">
        <is>
          <t>money</t>
        </is>
      </c>
      <c r="U40" s="10" t="inlineStr"/>
      <c r="V40" s="33" t="inlineStr">
        <is>
          <t>5</t>
        </is>
      </c>
    </row>
    <row r="41">
      <c r="A41" s="32" t="inlineStr">
        <is>
          <t>F039</t>
        </is>
      </c>
      <c r="B41" s="32" t="inlineStr">
        <is>
          <t>Not started</t>
        </is>
      </c>
      <c r="C41" s="32" t="inlineStr">
        <is>
          <t>Session 2+</t>
        </is>
      </c>
      <c r="D41" s="32" t="inlineStr">
        <is>
          <t>Taxes</t>
        </is>
      </c>
      <c r="E41" s="32" t="inlineStr">
        <is>
          <t>Filing</t>
        </is>
      </c>
      <c r="F41" s="32" t="inlineStr">
        <is>
          <t>Itemizing or standard</t>
        </is>
      </c>
      <c r="G41" s="32" t="inlineStr">
        <is>
          <t>Tertiary</t>
        </is>
      </c>
      <c r="H41" s="32" t="inlineStr">
        <is>
          <t>Toggle</t>
        </is>
      </c>
      <c r="I41" s="32" t="inlineStr">
        <is>
          <t>Usually standard. Asked only if likely to itemize</t>
        </is>
      </c>
      <c r="J41" s="32" t="n"/>
      <c r="K41" s="32" t="inlineStr">
        <is>
          <t>Coach infers</t>
        </is>
      </c>
      <c r="L41" s="32" t="n"/>
      <c r="M41" s="32" t="inlineStr">
        <is>
          <t>All</t>
        </is>
      </c>
      <c r="N41" s="32" t="inlineStr">
        <is>
          <t>Low</t>
        </is>
      </c>
      <c r="O41" s="32" t="n"/>
      <c r="P41" s="32" t="inlineStr">
        <is>
          <t>Now</t>
        </is>
      </c>
      <c r="Q41" s="32" t="n"/>
      <c r="S41" s="10" t="inlineStr">
        <is>
          <t>My Money › Taxes</t>
        </is>
      </c>
      <c r="T41" s="10" t="inlineStr">
        <is>
          <t>choice</t>
        </is>
      </c>
      <c r="U41" s="10" t="inlineStr"/>
      <c r="V41" s="33" t="inlineStr">
        <is>
          <t>5</t>
        </is>
      </c>
    </row>
    <row r="42">
      <c r="A42" s="32" t="inlineStr">
        <is>
          <t>F040</t>
        </is>
      </c>
      <c r="B42" s="32" t="inlineStr">
        <is>
          <t>Not started</t>
        </is>
      </c>
      <c r="C42" s="32" t="inlineStr">
        <is>
          <t>Computed</t>
        </is>
      </c>
      <c r="D42" s="32" t="inlineStr">
        <is>
          <t>Taxes</t>
        </is>
      </c>
      <c r="E42" s="32" t="inlineStr">
        <is>
          <t>Computed results</t>
        </is>
      </c>
      <c r="F42" s="32" t="inlineStr">
        <is>
          <t>Effective and marginal tax rate</t>
        </is>
      </c>
      <c r="G42" s="32" t="inlineStr">
        <is>
          <t>Secondary</t>
        </is>
      </c>
      <c r="H42" s="32" t="inlineStr">
        <is>
          <t>Computed tile</t>
        </is>
      </c>
      <c r="I42" s="32" t="inlineStr">
        <is>
          <t>Metric unlock. Federal plus FICA in v1</t>
        </is>
      </c>
      <c r="J42" s="32" t="n"/>
      <c r="K42" s="32" t="inlineStr">
        <is>
          <t>Computed</t>
        </is>
      </c>
      <c r="L42" s="32" t="n"/>
      <c r="M42" s="32" t="inlineStr">
        <is>
          <t>Computed</t>
        </is>
      </c>
      <c r="N42" s="32" t="inlineStr">
        <is>
          <t>High</t>
        </is>
      </c>
      <c r="O42" s="32" t="n"/>
      <c r="P42" s="32" t="inlineStr">
        <is>
          <t>Now</t>
        </is>
      </c>
      <c r="Q42" s="32" t="n"/>
      <c r="S42" s="10" t="inlineStr">
        <is>
          <t>My Money › Taxes</t>
        </is>
      </c>
      <c r="T42" s="10" t="inlineStr">
        <is>
          <t>computed</t>
        </is>
      </c>
      <c r="U42" s="10" t="inlineStr"/>
      <c r="V42" s="33" t="inlineStr">
        <is>
          <t>5</t>
        </is>
      </c>
    </row>
    <row r="43">
      <c r="A43" s="32" t="inlineStr">
        <is>
          <t>F041</t>
        </is>
      </c>
      <c r="B43" s="32" t="inlineStr">
        <is>
          <t>Not started</t>
        </is>
      </c>
      <c r="C43" s="32" t="inlineStr">
        <is>
          <t>Computed</t>
        </is>
      </c>
      <c r="D43" s="32" t="inlineStr">
        <is>
          <t>Taxes</t>
        </is>
      </c>
      <c r="E43" s="32" t="inlineStr">
        <is>
          <t>Computed results</t>
        </is>
      </c>
      <c r="F43" s="32" t="inlineStr">
        <is>
          <t>Self-employment tax</t>
        </is>
      </c>
      <c r="G43" s="32" t="inlineStr">
        <is>
          <t>Tertiary</t>
        </is>
      </c>
      <c r="H43" s="32" t="inlineStr">
        <is>
          <t>Computed tile</t>
        </is>
      </c>
      <c r="I43" s="32" t="inlineStr">
        <is>
          <t>1099 income only</t>
        </is>
      </c>
      <c r="J43" s="32" t="n"/>
      <c r="K43" s="32" t="inlineStr">
        <is>
          <t>Computed</t>
        </is>
      </c>
      <c r="L43" s="32" t="n"/>
      <c r="M43" s="32" t="inlineStr">
        <is>
          <t>Computed</t>
        </is>
      </c>
      <c r="N43" s="32" t="inlineStr">
        <is>
          <t>Medium</t>
        </is>
      </c>
      <c r="O43" s="32" t="n"/>
      <c r="P43" s="32" t="inlineStr">
        <is>
          <t>Now</t>
        </is>
      </c>
      <c r="Q43" s="32" t="n"/>
      <c r="S43" s="10" t="inlineStr">
        <is>
          <t>My Money › Taxes</t>
        </is>
      </c>
      <c r="T43" s="10" t="inlineStr">
        <is>
          <t>computed</t>
        </is>
      </c>
      <c r="U43" s="10" t="inlineStr"/>
      <c r="V43" s="33" t="inlineStr">
        <is>
          <t>5</t>
        </is>
      </c>
    </row>
    <row r="44">
      <c r="A44" s="32" t="inlineStr">
        <is>
          <t>F042</t>
        </is>
      </c>
      <c r="B44" s="32" t="inlineStr">
        <is>
          <t>Not started</t>
        </is>
      </c>
      <c r="C44" s="32" t="inlineStr">
        <is>
          <t>Parked</t>
        </is>
      </c>
      <c r="D44" s="32" t="inlineStr">
        <is>
          <t>Taxes</t>
        </is>
      </c>
      <c r="E44" s="32" t="inlineStr">
        <is>
          <t>Documents</t>
        </is>
      </c>
      <c r="F44" s="32" t="inlineStr">
        <is>
          <t>Paystub or 1040 reader</t>
        </is>
      </c>
      <c r="G44" s="32" t="inlineStr">
        <is>
          <t>Tertiary</t>
        </is>
      </c>
      <c r="H44" s="32" t="inlineStr">
        <is>
          <t>Upload</t>
        </is>
      </c>
      <c r="I44" s="32" t="inlineStr">
        <is>
          <t>Auto-fill deductions and filing info</t>
        </is>
      </c>
      <c r="J44" s="32" t="n"/>
      <c r="K44" s="32" t="inlineStr">
        <is>
          <t>Client</t>
        </is>
      </c>
      <c r="L44" s="32" t="n"/>
      <c r="M44" s="32" t="inlineStr">
        <is>
          <t>All</t>
        </is>
      </c>
      <c r="N44" s="32" t="inlineStr">
        <is>
          <t>Medium</t>
        </is>
      </c>
      <c r="O44" s="32" t="n"/>
      <c r="P44" s="32" t="inlineStr">
        <is>
          <t>Parked</t>
        </is>
      </c>
      <c r="Q44" s="32" t="n"/>
      <c r="S44" s="10" t="inlineStr">
        <is>
          <t>My Money › Taxes</t>
        </is>
      </c>
      <c r="T44" s="10" t="inlineStr">
        <is>
          <t>text</t>
        </is>
      </c>
      <c r="U44" s="10" t="inlineStr"/>
      <c r="V44" s="33" t="inlineStr">
        <is>
          <t>5</t>
        </is>
      </c>
    </row>
    <row r="45">
      <c r="A45" s="32" t="inlineStr">
        <is>
          <t>F043</t>
        </is>
      </c>
      <c r="B45" s="32" t="inlineStr">
        <is>
          <t>Not started</t>
        </is>
      </c>
      <c r="C45" s="32" t="inlineStr">
        <is>
          <t>Fast Track</t>
        </is>
      </c>
      <c r="D45" s="32" t="inlineStr">
        <is>
          <t>Needs</t>
        </is>
      </c>
      <c r="E45" s="32" t="inlineStr">
        <is>
          <t>Total</t>
        </is>
      </c>
      <c r="F45" s="32" t="inlineStr">
        <is>
          <t>Gut monthly spending</t>
        </is>
      </c>
      <c r="G45" s="32" t="inlineStr">
        <is>
          <t>Primary</t>
        </is>
      </c>
      <c r="H45" s="32" t="inlineStr">
        <is>
          <t>One amount</t>
        </is>
      </c>
      <c r="I45" s="32" t="inlineStr">
        <is>
          <t>FI number (25x spending) on day one. Later compared to actual</t>
        </is>
      </c>
      <c r="J45" s="32" t="n"/>
      <c r="K45" s="32" t="inlineStr">
        <is>
          <t>Client</t>
        </is>
      </c>
      <c r="L45" s="32" t="n"/>
      <c r="M45" s="32" t="inlineStr">
        <is>
          <t>All</t>
        </is>
      </c>
      <c r="N45" s="32" t="inlineStr">
        <is>
          <t>High</t>
        </is>
      </c>
      <c r="O45" s="32" t="n"/>
      <c r="P45" s="32" t="inlineStr">
        <is>
          <t>Now</t>
        </is>
      </c>
      <c r="Q45" s="32" t="inlineStr">
        <is>
          <t>Gut pass. Hold clients to their own words</t>
        </is>
      </c>
      <c r="S45" s="10" t="inlineStr">
        <is>
          <t>Spending › Budget</t>
        </is>
      </c>
      <c r="T45" s="10" t="inlineStr">
        <is>
          <t>money</t>
        </is>
      </c>
      <c r="U45" s="10" t="inlineStr"/>
      <c r="V45" s="33" t="inlineStr">
        <is>
          <t>6</t>
        </is>
      </c>
    </row>
    <row r="46">
      <c r="A46" s="32" t="inlineStr">
        <is>
          <t>F044</t>
        </is>
      </c>
      <c r="B46" s="32" t="inlineStr">
        <is>
          <t>Not started</t>
        </is>
      </c>
      <c r="C46" s="32" t="inlineStr">
        <is>
          <t>Session 1</t>
        </is>
      </c>
      <c r="D46" s="32" t="inlineStr">
        <is>
          <t>Needs</t>
        </is>
      </c>
      <c r="E46" s="32" t="inlineStr">
        <is>
          <t>Accommodation</t>
        </is>
      </c>
      <c r="F46" s="32" t="inlineStr">
        <is>
          <t>Rent or mortgage payment</t>
        </is>
      </c>
      <c r="G46" s="32" t="inlineStr">
        <is>
          <t>Primary</t>
        </is>
      </c>
      <c r="H46" s="32" t="inlineStr">
        <is>
          <t>Amount plus frequency (weekly, monthly, yearly, one-off)</t>
        </is>
      </c>
      <c r="I46" s="32" t="inlineStr">
        <is>
          <t>DRAFTT and FAT shares, Lean FI (FAT costs), estimate vs actual</t>
        </is>
      </c>
      <c r="J46" s="32" t="inlineStr">
        <is>
          <t>Every line: covered/shared options, my share or split by count, should-get-this, N/A</t>
        </is>
      </c>
      <c r="K46" s="32" t="inlineStr">
        <is>
          <t>Client</t>
        </is>
      </c>
      <c r="L46" s="32" t="n"/>
      <c r="M46" s="32" t="inlineStr">
        <is>
          <t>All</t>
        </is>
      </c>
      <c r="N46" s="32" t="inlineStr">
        <is>
          <t>High</t>
        </is>
      </c>
      <c r="O46" s="32" t="n"/>
      <c r="P46" s="32" t="inlineStr">
        <is>
          <t>Now</t>
        </is>
      </c>
      <c r="Q46" s="32" t="inlineStr">
        <is>
          <t>Housing should be 35% of take-home (Oct 8)</t>
        </is>
      </c>
      <c r="S46" s="10" t="inlineStr">
        <is>
          <t>Spending › Budget</t>
        </is>
      </c>
      <c r="T46" s="10" t="inlineStr">
        <is>
          <t>money</t>
        </is>
      </c>
      <c r="U46" s="10" t="inlineStr"/>
      <c r="V46" s="33" t="inlineStr">
        <is>
          <t>6</t>
        </is>
      </c>
    </row>
    <row r="47">
      <c r="A47" s="32" t="inlineStr">
        <is>
          <t>F045</t>
        </is>
      </c>
      <c r="B47" s="32" t="inlineStr">
        <is>
          <t>Not started</t>
        </is>
      </c>
      <c r="C47" s="32" t="inlineStr">
        <is>
          <t>Session 1</t>
        </is>
      </c>
      <c r="D47" s="32" t="inlineStr">
        <is>
          <t>Needs</t>
        </is>
      </c>
      <c r="E47" s="32" t="inlineStr">
        <is>
          <t>Accommodation</t>
        </is>
      </c>
      <c r="F47" s="32" t="inlineStr">
        <is>
          <t>Electric</t>
        </is>
      </c>
      <c r="G47" s="32" t="inlineStr">
        <is>
          <t>Secondary</t>
        </is>
      </c>
      <c r="H47" s="32" t="inlineStr">
        <is>
          <t>Amount plus frequency (weekly, monthly, yearly, one-off)</t>
        </is>
      </c>
      <c r="I47" s="32" t="inlineStr">
        <is>
          <t>DRAFTT and FAT shares, Lean FI (FAT costs), estimate vs actual</t>
        </is>
      </c>
      <c r="J47" s="32" t="inlineStr">
        <is>
          <t>Every line: covered/shared options, my share or split by count, should-get-this, N/A</t>
        </is>
      </c>
      <c r="K47" s="32" t="inlineStr">
        <is>
          <t>Client</t>
        </is>
      </c>
      <c r="L47" s="32" t="n"/>
      <c r="M47" s="32" t="inlineStr">
        <is>
          <t>All</t>
        </is>
      </c>
      <c r="N47" s="32" t="inlineStr">
        <is>
          <t>Medium</t>
        </is>
      </c>
      <c r="O47" s="32" t="n"/>
      <c r="P47" s="32" t="inlineStr">
        <is>
          <t>Now</t>
        </is>
      </c>
      <c r="Q47" s="32" t="inlineStr">
        <is>
          <t>Your comment: can be marked included in rent, or covered by someone (parents, other), tracking how much they cover</t>
        </is>
      </c>
      <c r="S47" s="10" t="inlineStr">
        <is>
          <t>Spending › Budget</t>
        </is>
      </c>
      <c r="T47" s="10" t="inlineStr">
        <is>
          <t>money</t>
        </is>
      </c>
      <c r="U47" s="10" t="inlineStr"/>
      <c r="V47" s="33" t="inlineStr">
        <is>
          <t>6</t>
        </is>
      </c>
    </row>
    <row r="48">
      <c r="A48" s="32" t="inlineStr">
        <is>
          <t>F046</t>
        </is>
      </c>
      <c r="B48" s="32" t="inlineStr">
        <is>
          <t>Not started</t>
        </is>
      </c>
      <c r="C48" s="32" t="inlineStr">
        <is>
          <t>Session 1</t>
        </is>
      </c>
      <c r="D48" s="32" t="inlineStr">
        <is>
          <t>Needs</t>
        </is>
      </c>
      <c r="E48" s="32" t="inlineStr">
        <is>
          <t>Accommodation</t>
        </is>
      </c>
      <c r="F48" s="32" t="inlineStr">
        <is>
          <t>Gas and heat</t>
        </is>
      </c>
      <c r="G48" s="32" t="inlineStr">
        <is>
          <t>Secondary</t>
        </is>
      </c>
      <c r="H48" s="32" t="inlineStr">
        <is>
          <t>Amount plus frequency (weekly, monthly, yearly, one-off)</t>
        </is>
      </c>
      <c r="I48" s="32" t="inlineStr">
        <is>
          <t>DRAFTT and FAT shares, Lean FI (FAT costs), estimate vs actual</t>
        </is>
      </c>
      <c r="J48" s="32" t="inlineStr">
        <is>
          <t>Every line: covered/shared options, my share or split by count, should-get-this, N/A</t>
        </is>
      </c>
      <c r="K48" s="32" t="inlineStr">
        <is>
          <t>Client</t>
        </is>
      </c>
      <c r="L48" s="32" t="n"/>
      <c r="M48" s="32" t="inlineStr">
        <is>
          <t>All</t>
        </is>
      </c>
      <c r="N48" s="32" t="inlineStr">
        <is>
          <t>Medium</t>
        </is>
      </c>
      <c r="O48" s="32" t="n"/>
      <c r="P48" s="32" t="inlineStr">
        <is>
          <t>Now</t>
        </is>
      </c>
      <c r="Q48" s="32" t="n"/>
      <c r="S48" s="10" t="inlineStr">
        <is>
          <t>Spending › Budget</t>
        </is>
      </c>
      <c r="T48" s="10" t="inlineStr">
        <is>
          <t>money</t>
        </is>
      </c>
      <c r="U48" s="10" t="inlineStr"/>
      <c r="V48" s="33" t="inlineStr">
        <is>
          <t>6</t>
        </is>
      </c>
    </row>
    <row r="49">
      <c r="A49" s="32" t="inlineStr">
        <is>
          <t>F047</t>
        </is>
      </c>
      <c r="B49" s="32" t="inlineStr">
        <is>
          <t>Not started</t>
        </is>
      </c>
      <c r="C49" s="32" t="inlineStr">
        <is>
          <t>Session 1</t>
        </is>
      </c>
      <c r="D49" s="32" t="inlineStr">
        <is>
          <t>Needs</t>
        </is>
      </c>
      <c r="E49" s="32" t="inlineStr">
        <is>
          <t>Accommodation</t>
        </is>
      </c>
      <c r="F49" s="32" t="inlineStr">
        <is>
          <t>Water and trash</t>
        </is>
      </c>
      <c r="G49" s="32" t="inlineStr">
        <is>
          <t>Secondary</t>
        </is>
      </c>
      <c r="H49" s="32" t="inlineStr">
        <is>
          <t>Amount plus frequency (weekly, monthly, yearly, one-off)</t>
        </is>
      </c>
      <c r="I49" s="32" t="inlineStr">
        <is>
          <t>DRAFTT and FAT shares, Lean FI (FAT costs), estimate vs actual</t>
        </is>
      </c>
      <c r="J49" s="32" t="inlineStr">
        <is>
          <t>Every line: covered/shared options, my share or split by count, should-get-this, N/A</t>
        </is>
      </c>
      <c r="K49" s="32" t="inlineStr">
        <is>
          <t>Client</t>
        </is>
      </c>
      <c r="L49" s="32" t="n"/>
      <c r="M49" s="32" t="inlineStr">
        <is>
          <t>All</t>
        </is>
      </c>
      <c r="N49" s="32" t="inlineStr">
        <is>
          <t>Low</t>
        </is>
      </c>
      <c r="O49" s="32" t="n"/>
      <c r="P49" s="32" t="inlineStr">
        <is>
          <t>Now</t>
        </is>
      </c>
      <c r="Q49" s="32" t="n"/>
      <c r="S49" s="10" t="inlineStr">
        <is>
          <t>Spending › Budget</t>
        </is>
      </c>
      <c r="T49" s="10" t="inlineStr">
        <is>
          <t>money</t>
        </is>
      </c>
      <c r="U49" s="10" t="inlineStr"/>
      <c r="V49" s="33" t="inlineStr">
        <is>
          <t>6</t>
        </is>
      </c>
    </row>
    <row r="50">
      <c r="A50" s="32" t="inlineStr">
        <is>
          <t>F048</t>
        </is>
      </c>
      <c r="B50" s="32" t="inlineStr">
        <is>
          <t>Not started</t>
        </is>
      </c>
      <c r="C50" s="32" t="inlineStr">
        <is>
          <t>Session 1</t>
        </is>
      </c>
      <c r="D50" s="32" t="inlineStr">
        <is>
          <t>Needs</t>
        </is>
      </c>
      <c r="E50" s="32" t="inlineStr">
        <is>
          <t>Accommodation</t>
        </is>
      </c>
      <c r="F50" s="32" t="inlineStr">
        <is>
          <t>Internet</t>
        </is>
      </c>
      <c r="G50" s="32" t="inlineStr">
        <is>
          <t>Secondary</t>
        </is>
      </c>
      <c r="H50" s="32" t="inlineStr">
        <is>
          <t>Amount plus frequency (weekly, monthly, yearly, one-off)</t>
        </is>
      </c>
      <c r="I50" s="32" t="inlineStr">
        <is>
          <t>DRAFTT and FAT shares, Lean FI (FAT costs), estimate vs actual</t>
        </is>
      </c>
      <c r="J50" s="32" t="inlineStr">
        <is>
          <t>Every line: covered/shared options, my share or split by count, should-get-this, N/A</t>
        </is>
      </c>
      <c r="K50" s="32" t="inlineStr">
        <is>
          <t>Client</t>
        </is>
      </c>
      <c r="L50" s="32" t="n"/>
      <c r="M50" s="32" t="inlineStr">
        <is>
          <t>All</t>
        </is>
      </c>
      <c r="N50" s="32" t="inlineStr">
        <is>
          <t>Low</t>
        </is>
      </c>
      <c r="O50" s="32" t="n"/>
      <c r="P50" s="32" t="inlineStr">
        <is>
          <t>Now</t>
        </is>
      </c>
      <c r="Q50" s="32" t="inlineStr">
        <is>
          <t>Small wins candidate; Your comment: included in rent, or covered by someone, tracking how much</t>
        </is>
      </c>
      <c r="S50" s="10" t="inlineStr">
        <is>
          <t>Spending › Budget</t>
        </is>
      </c>
      <c r="T50" s="10" t="inlineStr">
        <is>
          <t>money</t>
        </is>
      </c>
      <c r="U50" s="10" t="inlineStr"/>
      <c r="V50" s="33" t="inlineStr">
        <is>
          <t>6</t>
        </is>
      </c>
    </row>
    <row r="51">
      <c r="A51" s="32" t="inlineStr">
        <is>
          <t>F049</t>
        </is>
      </c>
      <c r="B51" s="32" t="inlineStr">
        <is>
          <t>Not started</t>
        </is>
      </c>
      <c r="C51" s="32" t="inlineStr">
        <is>
          <t>Session 1</t>
        </is>
      </c>
      <c r="D51" s="32" t="inlineStr">
        <is>
          <t>Needs</t>
        </is>
      </c>
      <c r="E51" s="32" t="inlineStr">
        <is>
          <t>Accommodation</t>
        </is>
      </c>
      <c r="F51" s="32" t="inlineStr">
        <is>
          <t>Renters or home insurance</t>
        </is>
      </c>
      <c r="G51" s="32" t="inlineStr">
        <is>
          <t>Secondary</t>
        </is>
      </c>
      <c r="H51" s="32" t="inlineStr">
        <is>
          <t>Amount plus frequency (weekly, monthly, yearly, one-off)</t>
        </is>
      </c>
      <c r="I51" s="32" t="inlineStr">
        <is>
          <t>DRAFTT and FAT shares, Lean FI (FAT costs), estimate vs actual</t>
        </is>
      </c>
      <c r="J51" s="32" t="inlineStr">
        <is>
          <t>Every line: covered/shared options, my share or split by count, should-get-this, N/A</t>
        </is>
      </c>
      <c r="K51" s="32" t="inlineStr">
        <is>
          <t>Client</t>
        </is>
      </c>
      <c r="L51" s="32" t="n"/>
      <c r="M51" s="32" t="inlineStr">
        <is>
          <t>All</t>
        </is>
      </c>
      <c r="N51" s="32" t="inlineStr">
        <is>
          <t>Low</t>
        </is>
      </c>
      <c r="O51" s="32" t="n"/>
      <c r="P51" s="32" t="inlineStr">
        <is>
          <t>Now</t>
        </is>
      </c>
      <c r="Q51" s="32" t="inlineStr">
        <is>
          <t>Should-get-this button when missing; Your comment: a 'we need to get this' button</t>
        </is>
      </c>
      <c r="S51" s="10" t="inlineStr">
        <is>
          <t>Spending › Budget</t>
        </is>
      </c>
      <c r="T51" s="10" t="inlineStr">
        <is>
          <t>money</t>
        </is>
      </c>
      <c r="U51" s="10" t="inlineStr"/>
      <c r="V51" s="33" t="inlineStr">
        <is>
          <t>6</t>
        </is>
      </c>
    </row>
    <row r="52">
      <c r="A52" s="32" t="inlineStr">
        <is>
          <t>F050</t>
        </is>
      </c>
      <c r="B52" s="32" t="inlineStr">
        <is>
          <t>Not started</t>
        </is>
      </c>
      <c r="C52" s="32" t="inlineStr">
        <is>
          <t>Session 1</t>
        </is>
      </c>
      <c r="D52" s="32" t="inlineStr">
        <is>
          <t>Needs</t>
        </is>
      </c>
      <c r="E52" s="32" t="inlineStr">
        <is>
          <t>Food</t>
        </is>
      </c>
      <c r="F52" s="32" t="inlineStr">
        <is>
          <t>Groceries</t>
        </is>
      </c>
      <c r="G52" s="32" t="inlineStr">
        <is>
          <t>Primary</t>
        </is>
      </c>
      <c r="H52" s="32" t="inlineStr">
        <is>
          <t>Amount plus frequency (weekly, monthly, yearly, one-off)</t>
        </is>
      </c>
      <c r="I52" s="32" t="inlineStr">
        <is>
          <t>DRAFTT and FAT shares, Lean FI (FAT costs), estimate vs actual</t>
        </is>
      </c>
      <c r="J52" s="32" t="inlineStr">
        <is>
          <t>Every line: covered/shared options, my share or split by count, should-get-this, N/A</t>
        </is>
      </c>
      <c r="K52" s="32" t="inlineStr">
        <is>
          <t>Client</t>
        </is>
      </c>
      <c r="L52" s="32" t="n"/>
      <c r="M52" s="32" t="inlineStr">
        <is>
          <t>All</t>
        </is>
      </c>
      <c r="N52" s="32" t="inlineStr">
        <is>
          <t>High</t>
        </is>
      </c>
      <c r="O52" s="32" t="n"/>
      <c r="P52" s="32" t="inlineStr">
        <is>
          <t>Now</t>
        </is>
      </c>
      <c r="Q52" s="32" t="inlineStr">
        <is>
          <t>Weekly is a common way to answer</t>
        </is>
      </c>
      <c r="S52" s="10" t="inlineStr">
        <is>
          <t>Spending › Budget</t>
        </is>
      </c>
      <c r="T52" s="10" t="inlineStr">
        <is>
          <t>money</t>
        </is>
      </c>
      <c r="U52" s="10" t="inlineStr"/>
      <c r="V52" s="33" t="inlineStr">
        <is>
          <t>6</t>
        </is>
      </c>
    </row>
    <row r="53">
      <c r="A53" s="32" t="inlineStr">
        <is>
          <t>F051</t>
        </is>
      </c>
      <c r="B53" s="32" t="inlineStr">
        <is>
          <t>Not started</t>
        </is>
      </c>
      <c r="C53" s="32" t="inlineStr">
        <is>
          <t>Session 1</t>
        </is>
      </c>
      <c r="D53" s="32" t="inlineStr">
        <is>
          <t>Needs</t>
        </is>
      </c>
      <c r="E53" s="32" t="inlineStr">
        <is>
          <t>Food</t>
        </is>
      </c>
      <c r="F53" s="32" t="inlineStr">
        <is>
          <t>Dining out and delivery</t>
        </is>
      </c>
      <c r="G53" s="32" t="inlineStr">
        <is>
          <t>Secondary</t>
        </is>
      </c>
      <c r="H53" s="32" t="inlineStr">
        <is>
          <t>Amount plus frequency (weekly, monthly, yearly, one-off)</t>
        </is>
      </c>
      <c r="I53" s="32" t="inlineStr">
        <is>
          <t>DRAFTT and FAT shares, Lean FI (FAT costs), estimate vs actual</t>
        </is>
      </c>
      <c r="J53" s="32" t="inlineStr">
        <is>
          <t>Every line: covered/shared options, my share or split by count, should-get-this, N/A</t>
        </is>
      </c>
      <c r="K53" s="32" t="inlineStr">
        <is>
          <t>Client</t>
        </is>
      </c>
      <c r="L53" s="32" t="n"/>
      <c r="M53" s="32" t="inlineStr">
        <is>
          <t>All</t>
        </is>
      </c>
      <c r="N53" s="32" t="inlineStr">
        <is>
          <t>Medium</t>
        </is>
      </c>
      <c r="O53" s="32" t="n"/>
      <c r="P53" s="32" t="inlineStr">
        <is>
          <t>Now</t>
        </is>
      </c>
      <c r="Q53" s="32" t="n"/>
      <c r="S53" s="10" t="inlineStr">
        <is>
          <t>Spending › Budget</t>
        </is>
      </c>
      <c r="T53" s="10" t="inlineStr">
        <is>
          <t>money</t>
        </is>
      </c>
      <c r="U53" s="10" t="inlineStr"/>
      <c r="V53" s="33" t="inlineStr">
        <is>
          <t>6</t>
        </is>
      </c>
    </row>
    <row r="54">
      <c r="A54" s="32" t="inlineStr">
        <is>
          <t>F052</t>
        </is>
      </c>
      <c r="B54" s="32" t="inlineStr">
        <is>
          <t>Not started</t>
        </is>
      </c>
      <c r="C54" s="32" t="inlineStr">
        <is>
          <t>Session 2+</t>
        </is>
      </c>
      <c r="D54" s="32" t="inlineStr">
        <is>
          <t>Needs</t>
        </is>
      </c>
      <c r="E54" s="32" t="inlineStr">
        <is>
          <t>Food</t>
        </is>
      </c>
      <c r="F54" s="32" t="inlineStr">
        <is>
          <t>Coffee and snacks</t>
        </is>
      </c>
      <c r="G54" s="32" t="inlineStr">
        <is>
          <t>Tertiary</t>
        </is>
      </c>
      <c r="H54" s="32" t="inlineStr">
        <is>
          <t>Amount plus frequency (weekly, monthly, yearly, one-off)</t>
        </is>
      </c>
      <c r="I54" s="32" t="inlineStr">
        <is>
          <t>DRAFTT and FAT shares, Lean FI (FAT costs), estimate vs actual</t>
        </is>
      </c>
      <c r="J54" s="32" t="inlineStr">
        <is>
          <t>Every line: covered/shared options, my share or split by count, should-get-this, N/A</t>
        </is>
      </c>
      <c r="K54" s="32" t="inlineStr">
        <is>
          <t>Client</t>
        </is>
      </c>
      <c r="L54" s="32" t="n"/>
      <c r="M54" s="32" t="inlineStr">
        <is>
          <t>All</t>
        </is>
      </c>
      <c r="N54" s="32" t="inlineStr">
        <is>
          <t>Low</t>
        </is>
      </c>
      <c r="O54" s="32" t="n"/>
      <c r="P54" s="32" t="inlineStr">
        <is>
          <t>Now</t>
        </is>
      </c>
      <c r="Q54" s="32" t="n"/>
      <c r="S54" s="10" t="inlineStr">
        <is>
          <t>Spending › Budget</t>
        </is>
      </c>
      <c r="T54" s="10" t="inlineStr">
        <is>
          <t>money</t>
        </is>
      </c>
      <c r="U54" s="10" t="inlineStr"/>
      <c r="V54" s="33" t="inlineStr">
        <is>
          <t>6</t>
        </is>
      </c>
    </row>
    <row r="55">
      <c r="A55" s="32" t="inlineStr">
        <is>
          <t>F053</t>
        </is>
      </c>
      <c r="B55" s="32" t="inlineStr">
        <is>
          <t>Not started</t>
        </is>
      </c>
      <c r="C55" s="32" t="inlineStr">
        <is>
          <t>Session 1</t>
        </is>
      </c>
      <c r="D55" s="32" t="inlineStr">
        <is>
          <t>Needs</t>
        </is>
      </c>
      <c r="E55" s="32" t="inlineStr">
        <is>
          <t>Transportation</t>
        </is>
      </c>
      <c r="F55" s="32" t="inlineStr">
        <is>
          <t>Car insurance</t>
        </is>
      </c>
      <c r="G55" s="32" t="inlineStr">
        <is>
          <t>Secondary</t>
        </is>
      </c>
      <c r="H55" s="32" t="inlineStr">
        <is>
          <t>Amount plus frequency (weekly, monthly, yearly, one-off)</t>
        </is>
      </c>
      <c r="I55" s="32" t="inlineStr">
        <is>
          <t>DRAFTT and FAT shares, Lean FI (FAT costs), estimate vs actual</t>
        </is>
      </c>
      <c r="J55" s="32" t="inlineStr">
        <is>
          <t>Every line: covered/shared options, my share or split by count, should-get-this, N/A</t>
        </is>
      </c>
      <c r="K55" s="32" t="inlineStr">
        <is>
          <t>Client</t>
        </is>
      </c>
      <c r="L55" s="32" t="n"/>
      <c r="M55" s="32" t="inlineStr">
        <is>
          <t>All</t>
        </is>
      </c>
      <c r="N55" s="32" t="inlineStr">
        <is>
          <t>Medium</t>
        </is>
      </c>
      <c r="O55" s="32" t="n"/>
      <c r="P55" s="32" t="inlineStr">
        <is>
          <t>Now</t>
        </is>
      </c>
      <c r="Q55" s="32" t="inlineStr">
        <is>
          <t>Only if Profile says they have a car (car gate); Your comment: separate by car gate</t>
        </is>
      </c>
      <c r="S55" s="10" t="inlineStr">
        <is>
          <t>Spending › Budget</t>
        </is>
      </c>
      <c r="T55" s="10" t="inlineStr">
        <is>
          <t>money</t>
        </is>
      </c>
      <c r="U55" s="10" t="inlineStr"/>
      <c r="V55" s="33" t="inlineStr">
        <is>
          <t>6</t>
        </is>
      </c>
    </row>
    <row r="56">
      <c r="A56" s="32" t="inlineStr">
        <is>
          <t>F054</t>
        </is>
      </c>
      <c r="B56" s="32" t="inlineStr">
        <is>
          <t>Not started</t>
        </is>
      </c>
      <c r="C56" s="32" t="inlineStr">
        <is>
          <t>Session 1</t>
        </is>
      </c>
      <c r="D56" s="32" t="inlineStr">
        <is>
          <t>Needs</t>
        </is>
      </c>
      <c r="E56" s="32" t="inlineStr">
        <is>
          <t>Transportation</t>
        </is>
      </c>
      <c r="F56" s="32" t="inlineStr">
        <is>
          <t>Gas or charging</t>
        </is>
      </c>
      <c r="G56" s="32" t="inlineStr">
        <is>
          <t>Secondary</t>
        </is>
      </c>
      <c r="H56" s="32" t="inlineStr">
        <is>
          <t>Amount plus frequency (weekly, monthly, yearly, one-off)</t>
        </is>
      </c>
      <c r="I56" s="32" t="inlineStr">
        <is>
          <t>DRAFTT and FAT shares, Lean FI (FAT costs), estimate vs actual</t>
        </is>
      </c>
      <c r="J56" s="32" t="inlineStr">
        <is>
          <t>Every line: covered/shared options, my share or split by count, should-get-this, N/A</t>
        </is>
      </c>
      <c r="K56" s="32" t="inlineStr">
        <is>
          <t>Client</t>
        </is>
      </c>
      <c r="L56" s="32" t="n"/>
      <c r="M56" s="32" t="inlineStr">
        <is>
          <t>All</t>
        </is>
      </c>
      <c r="N56" s="32" t="inlineStr">
        <is>
          <t>Medium</t>
        </is>
      </c>
      <c r="O56" s="32" t="n"/>
      <c r="P56" s="32" t="inlineStr">
        <is>
          <t>Now</t>
        </is>
      </c>
      <c r="Q56" s="32" t="inlineStr">
        <is>
          <t>Only if Profile says they have a car (car gate)</t>
        </is>
      </c>
      <c r="S56" s="10" t="inlineStr">
        <is>
          <t>Spending › Budget</t>
        </is>
      </c>
      <c r="T56" s="10" t="inlineStr">
        <is>
          <t>money</t>
        </is>
      </c>
      <c r="U56" s="10" t="inlineStr"/>
      <c r="V56" s="33" t="inlineStr">
        <is>
          <t>6</t>
        </is>
      </c>
    </row>
    <row r="57">
      <c r="A57" s="32" t="inlineStr">
        <is>
          <t>F055</t>
        </is>
      </c>
      <c r="B57" s="32" t="inlineStr">
        <is>
          <t>Not started</t>
        </is>
      </c>
      <c r="C57" s="32" t="inlineStr">
        <is>
          <t>Session 1</t>
        </is>
      </c>
      <c r="D57" s="32" t="inlineStr">
        <is>
          <t>Needs</t>
        </is>
      </c>
      <c r="E57" s="32" t="inlineStr">
        <is>
          <t>Transportation</t>
        </is>
      </c>
      <c r="F57" s="32" t="inlineStr">
        <is>
          <t>Car maintenance and repairs</t>
        </is>
      </c>
      <c r="G57" s="32" t="inlineStr">
        <is>
          <t>Secondary</t>
        </is>
      </c>
      <c r="H57" s="32" t="inlineStr">
        <is>
          <t>Amount plus frequency (weekly, monthly, yearly, one-off)</t>
        </is>
      </c>
      <c r="I57" s="32" t="inlineStr">
        <is>
          <t>DRAFTT and FAT shares, Lean FI (FAT costs), estimate vs actual</t>
        </is>
      </c>
      <c r="J57" s="32" t="inlineStr">
        <is>
          <t>Every line: covered/shared options, my share or split by count, should-get-this, N/A</t>
        </is>
      </c>
      <c r="K57" s="32" t="inlineStr">
        <is>
          <t>Client</t>
        </is>
      </c>
      <c r="L57" s="32" t="n"/>
      <c r="M57" s="32" t="inlineStr">
        <is>
          <t>All</t>
        </is>
      </c>
      <c r="N57" s="32" t="inlineStr">
        <is>
          <t>Low</t>
        </is>
      </c>
      <c r="O57" s="32" t="n"/>
      <c r="P57" s="32" t="inlineStr">
        <is>
          <t>Now</t>
        </is>
      </c>
      <c r="Q57" s="32" t="inlineStr">
        <is>
          <t>Only if Profile says they have a car (car gate). Yearly, shown monthly; Your comment: separate by car gate</t>
        </is>
      </c>
      <c r="S57" s="10" t="inlineStr">
        <is>
          <t>Spending › Budget</t>
        </is>
      </c>
      <c r="T57" s="10" t="inlineStr">
        <is>
          <t>money</t>
        </is>
      </c>
      <c r="U57" s="10" t="inlineStr"/>
      <c r="V57" s="33" t="inlineStr">
        <is>
          <t>6</t>
        </is>
      </c>
    </row>
    <row r="58">
      <c r="A58" s="32" t="inlineStr">
        <is>
          <t>F056</t>
        </is>
      </c>
      <c r="B58" s="32" t="inlineStr">
        <is>
          <t>Not started</t>
        </is>
      </c>
      <c r="C58" s="32" t="inlineStr">
        <is>
          <t>Session 2+</t>
        </is>
      </c>
      <c r="D58" s="32" t="inlineStr">
        <is>
          <t>Needs</t>
        </is>
      </c>
      <c r="E58" s="32" t="inlineStr">
        <is>
          <t>Transportation</t>
        </is>
      </c>
      <c r="F58" s="32" t="inlineStr">
        <is>
          <t>Registration and inspection</t>
        </is>
      </c>
      <c r="G58" s="32" t="inlineStr">
        <is>
          <t>Tertiary</t>
        </is>
      </c>
      <c r="H58" s="32" t="inlineStr">
        <is>
          <t>Amount plus frequency (weekly, monthly, yearly, one-off)</t>
        </is>
      </c>
      <c r="I58" s="32" t="inlineStr">
        <is>
          <t>DRAFTT and FAT shares, Lean FI (FAT costs), estimate vs actual</t>
        </is>
      </c>
      <c r="J58" s="32" t="inlineStr">
        <is>
          <t>Every line: covered/shared options, my share or split by count, should-get-this, N/A</t>
        </is>
      </c>
      <c r="K58" s="32" t="inlineStr">
        <is>
          <t>Client</t>
        </is>
      </c>
      <c r="L58" s="32" t="n"/>
      <c r="M58" s="32" t="inlineStr">
        <is>
          <t>All</t>
        </is>
      </c>
      <c r="N58" s="32" t="inlineStr">
        <is>
          <t>Low</t>
        </is>
      </c>
      <c r="O58" s="32" t="n"/>
      <c r="P58" s="32" t="inlineStr">
        <is>
          <t>Now</t>
        </is>
      </c>
      <c r="Q58" s="32" t="inlineStr">
        <is>
          <t>Only if Profile says they have a car (car gate). Yearly</t>
        </is>
      </c>
      <c r="S58" s="10" t="inlineStr">
        <is>
          <t>Spending › Budget</t>
        </is>
      </c>
      <c r="T58" s="10" t="inlineStr">
        <is>
          <t>money</t>
        </is>
      </c>
      <c r="U58" s="10" t="inlineStr"/>
      <c r="V58" s="33" t="inlineStr">
        <is>
          <t>6</t>
        </is>
      </c>
    </row>
    <row r="59">
      <c r="A59" s="32" t="inlineStr">
        <is>
          <t>F057</t>
        </is>
      </c>
      <c r="B59" s="32" t="inlineStr">
        <is>
          <t>Not started</t>
        </is>
      </c>
      <c r="C59" s="32" t="inlineStr">
        <is>
          <t>Session 2+</t>
        </is>
      </c>
      <c r="D59" s="32" t="inlineStr">
        <is>
          <t>Needs</t>
        </is>
      </c>
      <c r="E59" s="32" t="inlineStr">
        <is>
          <t>Transportation</t>
        </is>
      </c>
      <c r="F59" s="32" t="inlineStr">
        <is>
          <t>Tolls</t>
        </is>
      </c>
      <c r="G59" s="32" t="inlineStr">
        <is>
          <t>Tertiary</t>
        </is>
      </c>
      <c r="H59" s="32" t="inlineStr">
        <is>
          <t>Amount plus frequency (weekly, monthly, yearly, one-off)</t>
        </is>
      </c>
      <c r="I59" s="32" t="inlineStr">
        <is>
          <t>DRAFTT and FAT shares, Lean FI (FAT costs), estimate vs actual</t>
        </is>
      </c>
      <c r="J59" s="32" t="inlineStr">
        <is>
          <t>Every line: covered/shared options, my share or split by count, should-get-this, N/A</t>
        </is>
      </c>
      <c r="K59" s="32" t="inlineStr">
        <is>
          <t>Client</t>
        </is>
      </c>
      <c r="L59" s="32" t="n"/>
      <c r="M59" s="32" t="inlineStr">
        <is>
          <t>All</t>
        </is>
      </c>
      <c r="N59" s="32" t="inlineStr">
        <is>
          <t>Low</t>
        </is>
      </c>
      <c r="O59" s="32" t="n"/>
      <c r="P59" s="32" t="inlineStr">
        <is>
          <t>Now</t>
        </is>
      </c>
      <c r="Q59" s="32" t="inlineStr">
        <is>
          <t>Only if Profile says they have a car (car gate); Your comment: car-only items split out individually</t>
        </is>
      </c>
      <c r="S59" s="10" t="inlineStr">
        <is>
          <t>Spending › Budget</t>
        </is>
      </c>
      <c r="T59" s="10" t="inlineStr">
        <is>
          <t>money</t>
        </is>
      </c>
      <c r="U59" s="10" t="inlineStr"/>
      <c r="V59" s="33" t="inlineStr">
        <is>
          <t>6</t>
        </is>
      </c>
    </row>
    <row r="60">
      <c r="A60" s="32" t="inlineStr">
        <is>
          <t>F058</t>
        </is>
      </c>
      <c r="B60" s="32" t="inlineStr">
        <is>
          <t>Not started</t>
        </is>
      </c>
      <c r="C60" s="32" t="inlineStr">
        <is>
          <t>Session 2+</t>
        </is>
      </c>
      <c r="D60" s="32" t="inlineStr">
        <is>
          <t>Needs</t>
        </is>
      </c>
      <c r="E60" s="32" t="inlineStr">
        <is>
          <t>Transportation</t>
        </is>
      </c>
      <c r="F60" s="32" t="inlineStr">
        <is>
          <t>Parking</t>
        </is>
      </c>
      <c r="G60" s="32" t="inlineStr">
        <is>
          <t>Tertiary</t>
        </is>
      </c>
      <c r="H60" s="32" t="inlineStr">
        <is>
          <t>Amount plus frequency (weekly, monthly, yearly, one-off)</t>
        </is>
      </c>
      <c r="I60" s="32" t="inlineStr">
        <is>
          <t>DRAFTT and FAT shares, Lean FI (FAT costs), estimate vs actual</t>
        </is>
      </c>
      <c r="J60" s="32" t="inlineStr">
        <is>
          <t>Every line: covered/shared options, my share or split by count, should-get-this, N/A</t>
        </is>
      </c>
      <c r="K60" s="32" t="inlineStr">
        <is>
          <t>Client</t>
        </is>
      </c>
      <c r="L60" s="32" t="n"/>
      <c r="M60" s="32" t="inlineStr">
        <is>
          <t>All</t>
        </is>
      </c>
      <c r="N60" s="32" t="inlineStr">
        <is>
          <t>Low</t>
        </is>
      </c>
      <c r="O60" s="32" t="n"/>
      <c r="P60" s="32" t="inlineStr">
        <is>
          <t>Now</t>
        </is>
      </c>
      <c r="Q60" s="32" t="inlineStr">
        <is>
          <t>Only if Profile says they have a car (car gate)</t>
        </is>
      </c>
      <c r="S60" s="10" t="inlineStr">
        <is>
          <t>Spending › Budget</t>
        </is>
      </c>
      <c r="T60" s="10" t="inlineStr">
        <is>
          <t>money</t>
        </is>
      </c>
      <c r="U60" s="10" t="inlineStr"/>
      <c r="V60" s="33" t="inlineStr">
        <is>
          <t>6</t>
        </is>
      </c>
    </row>
    <row r="61">
      <c r="A61" s="32" t="inlineStr">
        <is>
          <t>F059</t>
        </is>
      </c>
      <c r="B61" s="32" t="inlineStr">
        <is>
          <t>Not started</t>
        </is>
      </c>
      <c r="C61" s="32" t="inlineStr">
        <is>
          <t>Session 2+</t>
        </is>
      </c>
      <c r="D61" s="32" t="inlineStr">
        <is>
          <t>Needs</t>
        </is>
      </c>
      <c r="E61" s="32" t="inlineStr">
        <is>
          <t>Transportation</t>
        </is>
      </c>
      <c r="F61" s="32" t="inlineStr">
        <is>
          <t>Car wash and supplies</t>
        </is>
      </c>
      <c r="G61" s="32" t="inlineStr">
        <is>
          <t>Tertiary</t>
        </is>
      </c>
      <c r="H61" s="32" t="inlineStr">
        <is>
          <t>Amount plus frequency (weekly, monthly, yearly, one-off)</t>
        </is>
      </c>
      <c r="I61" s="32" t="inlineStr">
        <is>
          <t>DRAFTT and FAT shares, Lean FI (FAT costs), estimate vs actual</t>
        </is>
      </c>
      <c r="J61" s="32" t="inlineStr">
        <is>
          <t>Every line: covered/shared options, my share or split by count, should-get-this, N/A</t>
        </is>
      </c>
      <c r="K61" s="32" t="inlineStr">
        <is>
          <t>Client</t>
        </is>
      </c>
      <c r="L61" s="32" t="n"/>
      <c r="M61" s="32" t="inlineStr">
        <is>
          <t>All</t>
        </is>
      </c>
      <c r="N61" s="32" t="inlineStr">
        <is>
          <t>Low</t>
        </is>
      </c>
      <c r="O61" s="32" t="n"/>
      <c r="P61" s="32" t="inlineStr">
        <is>
          <t>Now</t>
        </is>
      </c>
      <c r="Q61" s="32" t="inlineStr">
        <is>
          <t>Only if Profile says they have a car (car gate)</t>
        </is>
      </c>
      <c r="S61" s="10" t="inlineStr">
        <is>
          <t>Spending › Budget</t>
        </is>
      </c>
      <c r="T61" s="10" t="inlineStr">
        <is>
          <t>money</t>
        </is>
      </c>
      <c r="U61" s="10" t="inlineStr"/>
      <c r="V61" s="33" t="inlineStr">
        <is>
          <t>6</t>
        </is>
      </c>
    </row>
    <row r="62">
      <c r="A62" s="32" t="inlineStr">
        <is>
          <t>F060</t>
        </is>
      </c>
      <c r="B62" s="32" t="inlineStr">
        <is>
          <t>Not started</t>
        </is>
      </c>
      <c r="C62" s="32" t="inlineStr">
        <is>
          <t>Session 1</t>
        </is>
      </c>
      <c r="D62" s="32" t="inlineStr">
        <is>
          <t>Needs</t>
        </is>
      </c>
      <c r="E62" s="32" t="inlineStr">
        <is>
          <t>Transportation</t>
        </is>
      </c>
      <c r="F62" s="32" t="inlineStr">
        <is>
          <t>Transit pass and fares</t>
        </is>
      </c>
      <c r="G62" s="32" t="inlineStr">
        <is>
          <t>Secondary</t>
        </is>
      </c>
      <c r="H62" s="32" t="inlineStr">
        <is>
          <t>Amount plus frequency (weekly, monthly, yearly, one-off)</t>
        </is>
      </c>
      <c r="I62" s="32" t="inlineStr">
        <is>
          <t>DRAFTT and FAT shares, Lean FI (FAT costs), estimate vs actual</t>
        </is>
      </c>
      <c r="J62" s="32" t="inlineStr">
        <is>
          <t>Every line: covered/shared options, my share or split by count, should-get-this, N/A</t>
        </is>
      </c>
      <c r="K62" s="32" t="inlineStr">
        <is>
          <t>Client</t>
        </is>
      </c>
      <c r="L62" s="32" t="n"/>
      <c r="M62" s="32" t="inlineStr">
        <is>
          <t>All</t>
        </is>
      </c>
      <c r="N62" s="32" t="inlineStr">
        <is>
          <t>Medium</t>
        </is>
      </c>
      <c r="O62" s="32" t="n"/>
      <c r="P62" s="32" t="inlineStr">
        <is>
          <t>Now</t>
        </is>
      </c>
      <c r="Q62" s="32" t="inlineStr">
        <is>
          <t>Everyone</t>
        </is>
      </c>
      <c r="S62" s="10" t="inlineStr">
        <is>
          <t>Spending › Budget</t>
        </is>
      </c>
      <c r="T62" s="10" t="inlineStr">
        <is>
          <t>money</t>
        </is>
      </c>
      <c r="U62" s="10" t="inlineStr"/>
      <c r="V62" s="33" t="inlineStr">
        <is>
          <t>6</t>
        </is>
      </c>
    </row>
    <row r="63">
      <c r="A63" s="32" t="inlineStr">
        <is>
          <t>F061</t>
        </is>
      </c>
      <c r="B63" s="32" t="inlineStr">
        <is>
          <t>Not started</t>
        </is>
      </c>
      <c r="C63" s="32" t="inlineStr">
        <is>
          <t>Session 1</t>
        </is>
      </c>
      <c r="D63" s="32" t="inlineStr">
        <is>
          <t>Needs</t>
        </is>
      </c>
      <c r="E63" s="32" t="inlineStr">
        <is>
          <t>Transportation</t>
        </is>
      </c>
      <c r="F63" s="32" t="inlineStr">
        <is>
          <t>Uber, Lyft, taxis</t>
        </is>
      </c>
      <c r="G63" s="32" t="inlineStr">
        <is>
          <t>Secondary</t>
        </is>
      </c>
      <c r="H63" s="32" t="inlineStr">
        <is>
          <t>Amount plus frequency (weekly, monthly, yearly, one-off)</t>
        </is>
      </c>
      <c r="I63" s="32" t="inlineStr">
        <is>
          <t>DRAFTT and FAT shares, Lean FI (FAT costs), estimate vs actual</t>
        </is>
      </c>
      <c r="J63" s="32" t="inlineStr">
        <is>
          <t>Every line: covered/shared options, my share or split by count, should-get-this, N/A</t>
        </is>
      </c>
      <c r="K63" s="32" t="inlineStr">
        <is>
          <t>Client</t>
        </is>
      </c>
      <c r="L63" s="32" t="n"/>
      <c r="M63" s="32" t="inlineStr">
        <is>
          <t>All</t>
        </is>
      </c>
      <c r="N63" s="32" t="inlineStr">
        <is>
          <t>Medium</t>
        </is>
      </c>
      <c r="O63" s="32" t="n"/>
      <c r="P63" s="32" t="inlineStr">
        <is>
          <t>Now</t>
        </is>
      </c>
      <c r="Q63" s="32" t="inlineStr">
        <is>
          <t>Everyone</t>
        </is>
      </c>
      <c r="S63" s="10" t="inlineStr">
        <is>
          <t>Spending › Budget</t>
        </is>
      </c>
      <c r="T63" s="10" t="inlineStr">
        <is>
          <t>money</t>
        </is>
      </c>
      <c r="U63" s="10" t="inlineStr"/>
      <c r="V63" s="33" t="inlineStr">
        <is>
          <t>6</t>
        </is>
      </c>
    </row>
    <row r="64">
      <c r="A64" s="32" t="inlineStr">
        <is>
          <t>F062</t>
        </is>
      </c>
      <c r="B64" s="32" t="inlineStr">
        <is>
          <t>Not started</t>
        </is>
      </c>
      <c r="C64" s="32" t="inlineStr">
        <is>
          <t>Session 1</t>
        </is>
      </c>
      <c r="D64" s="32" t="inlineStr">
        <is>
          <t>Needs</t>
        </is>
      </c>
      <c r="E64" s="32" t="inlineStr">
        <is>
          <t>Therapy (optional)</t>
        </is>
      </c>
      <c r="F64" s="32" t="inlineStr">
        <is>
          <t>Therapy or coaching</t>
        </is>
      </c>
      <c r="G64" s="32" t="inlineStr">
        <is>
          <t>Secondary</t>
        </is>
      </c>
      <c r="H64" s="32" t="inlineStr">
        <is>
          <t>Amount plus frequency (weekly, monthly, yearly, one-off)</t>
        </is>
      </c>
      <c r="I64" s="32" t="inlineStr">
        <is>
          <t>DRAFTT and FAT shares, Lean FI (FAT costs), estimate vs actual</t>
        </is>
      </c>
      <c r="J64" s="32" t="inlineStr">
        <is>
          <t>Every line: covered/shared options, my share or split by count, should-get-this, N/A</t>
        </is>
      </c>
      <c r="K64" s="32" t="inlineStr">
        <is>
          <t>Client</t>
        </is>
      </c>
      <c r="L64" s="32" t="n"/>
      <c r="M64" s="32" t="inlineStr">
        <is>
          <t>All</t>
        </is>
      </c>
      <c r="N64" s="32" t="inlineStr">
        <is>
          <t>Medium</t>
        </is>
      </c>
      <c r="O64" s="32" t="n"/>
      <c r="P64" s="32" t="inlineStr">
        <is>
          <t>Now</t>
        </is>
      </c>
      <c r="Q64" s="32" t="inlineStr">
        <is>
          <t>Optional DRAFTT line; Your comment: check whether health insurance reimburses; track reimbursed amount</t>
        </is>
      </c>
      <c r="S64" s="10" t="inlineStr">
        <is>
          <t>Spending › Budget</t>
        </is>
      </c>
      <c r="T64" s="10" t="inlineStr">
        <is>
          <t>money</t>
        </is>
      </c>
      <c r="U64" s="10" t="inlineStr"/>
      <c r="V64" s="33" t="inlineStr">
        <is>
          <t>6</t>
        </is>
      </c>
    </row>
    <row r="65">
      <c r="A65" s="32" t="inlineStr">
        <is>
          <t>F063</t>
        </is>
      </c>
      <c r="B65" s="32" t="inlineStr">
        <is>
          <t>Not started</t>
        </is>
      </c>
      <c r="C65" s="32" t="inlineStr">
        <is>
          <t>Session 1</t>
        </is>
      </c>
      <c r="D65" s="32" t="inlineStr">
        <is>
          <t>Needs</t>
        </is>
      </c>
      <c r="E65" s="32" t="inlineStr">
        <is>
          <t>Health</t>
        </is>
      </c>
      <c r="F65" s="32" t="inlineStr">
        <is>
          <t>Out-of-pocket medical and prescriptions</t>
        </is>
      </c>
      <c r="G65" s="32" t="inlineStr">
        <is>
          <t>Secondary</t>
        </is>
      </c>
      <c r="H65" s="32" t="inlineStr">
        <is>
          <t>Amount plus frequency (weekly, monthly, yearly, one-off)</t>
        </is>
      </c>
      <c r="I65" s="32" t="inlineStr">
        <is>
          <t>DRAFTT and FAT shares, Lean FI (FAT costs), estimate vs actual</t>
        </is>
      </c>
      <c r="J65" s="32" t="inlineStr">
        <is>
          <t>Every line: covered/shared options, my share or split by count, should-get-this, N/A</t>
        </is>
      </c>
      <c r="K65" s="32" t="inlineStr">
        <is>
          <t>Client</t>
        </is>
      </c>
      <c r="L65" s="32" t="n"/>
      <c r="M65" s="32" t="inlineStr">
        <is>
          <t>All</t>
        </is>
      </c>
      <c r="N65" s="32" t="inlineStr">
        <is>
          <t>Medium</t>
        </is>
      </c>
      <c r="O65" s="32" t="n"/>
      <c r="P65" s="32" t="inlineStr">
        <is>
          <t>Now</t>
        </is>
      </c>
      <c r="Q65" s="32" t="n"/>
      <c r="S65" s="10" t="inlineStr">
        <is>
          <t>Spending › Budget</t>
        </is>
      </c>
      <c r="T65" s="10" t="inlineStr">
        <is>
          <t>money</t>
        </is>
      </c>
      <c r="U65" s="10" t="inlineStr"/>
      <c r="V65" s="33" t="inlineStr">
        <is>
          <t>6</t>
        </is>
      </c>
    </row>
    <row r="66">
      <c r="A66" s="32" t="inlineStr">
        <is>
          <t>F064</t>
        </is>
      </c>
      <c r="B66" s="32" t="inlineStr">
        <is>
          <t>Not started</t>
        </is>
      </c>
      <c r="C66" s="32" t="inlineStr">
        <is>
          <t>Session 1</t>
        </is>
      </c>
      <c r="D66" s="32" t="inlineStr">
        <is>
          <t>Needs</t>
        </is>
      </c>
      <c r="E66" s="32" t="inlineStr">
        <is>
          <t>Phone and subscriptions</t>
        </is>
      </c>
      <c r="F66" s="32" t="inlineStr">
        <is>
          <t>Phone plan</t>
        </is>
      </c>
      <c r="G66" s="32" t="inlineStr">
        <is>
          <t>Secondary</t>
        </is>
      </c>
      <c r="H66" s="32" t="inlineStr">
        <is>
          <t>Amount plus frequency (weekly, monthly, yearly, one-off)</t>
        </is>
      </c>
      <c r="I66" s="32" t="inlineStr">
        <is>
          <t>DRAFTT and FAT shares, Lean FI (FAT costs), estimate vs actual</t>
        </is>
      </c>
      <c r="J66" s="32" t="inlineStr">
        <is>
          <t>Every line: covered/shared options, my share or split by count, should-get-this, N/A</t>
        </is>
      </c>
      <c r="K66" s="32" t="inlineStr">
        <is>
          <t>Client</t>
        </is>
      </c>
      <c r="L66" s="32" t="n"/>
      <c r="M66" s="32" t="inlineStr">
        <is>
          <t>All</t>
        </is>
      </c>
      <c r="N66" s="32" t="inlineStr">
        <is>
          <t>Low</t>
        </is>
      </c>
      <c r="O66" s="32" t="n"/>
      <c r="P66" s="32" t="inlineStr">
        <is>
          <t>Now</t>
        </is>
      </c>
      <c r="Q66" s="32" t="inlineStr">
        <is>
          <t>Family plan = small win; Your comment: covered? by who? or my share</t>
        </is>
      </c>
      <c r="S66" s="10" t="inlineStr">
        <is>
          <t>Spending › Budget</t>
        </is>
      </c>
      <c r="T66" s="10" t="inlineStr">
        <is>
          <t>money</t>
        </is>
      </c>
      <c r="U66" s="10" t="inlineStr"/>
      <c r="V66" s="33" t="inlineStr">
        <is>
          <t>6</t>
        </is>
      </c>
    </row>
    <row r="67">
      <c r="A67" s="32" t="inlineStr">
        <is>
          <t>F065</t>
        </is>
      </c>
      <c r="B67" s="32" t="inlineStr">
        <is>
          <t>Not started</t>
        </is>
      </c>
      <c r="C67" s="32" t="inlineStr">
        <is>
          <t>Session 2+</t>
        </is>
      </c>
      <c r="D67" s="32" t="inlineStr">
        <is>
          <t>Needs</t>
        </is>
      </c>
      <c r="E67" s="32" t="inlineStr">
        <is>
          <t>Phone and subscriptions</t>
        </is>
      </c>
      <c r="F67" s="32" t="inlineStr">
        <is>
          <t>Subscriptions (list)</t>
        </is>
      </c>
      <c r="G67" s="32" t="inlineStr">
        <is>
          <t>Tertiary</t>
        </is>
      </c>
      <c r="H67" s="32" t="inlineStr">
        <is>
          <t>Amount plus frequency (weekly, monthly, yearly, one-off)</t>
        </is>
      </c>
      <c r="I67" s="32" t="inlineStr">
        <is>
          <t>DRAFTT and FAT shares, Lean FI (FAT costs), estimate vs actual</t>
        </is>
      </c>
      <c r="J67" s="32" t="inlineStr">
        <is>
          <t>Every line: covered/shared options, my share or split by count, should-get-this, N/A</t>
        </is>
      </c>
      <c r="K67" s="32" t="inlineStr">
        <is>
          <t>Client</t>
        </is>
      </c>
      <c r="L67" s="32" t="n"/>
      <c r="M67" s="32" t="inlineStr">
        <is>
          <t>All</t>
        </is>
      </c>
      <c r="N67" s="32" t="inlineStr">
        <is>
          <t>Low</t>
        </is>
      </c>
      <c r="O67" s="32" t="n"/>
      <c r="P67" s="32" t="inlineStr">
        <is>
          <t>Now</t>
        </is>
      </c>
      <c r="Q67" s="32" t="inlineStr">
        <is>
          <t>Batch small wins tab; Your comment: covered by who, my share, how many people split it</t>
        </is>
      </c>
      <c r="S67" s="10" t="inlineStr">
        <is>
          <t>Spending › Budget</t>
        </is>
      </c>
      <c r="T67" s="10" t="inlineStr">
        <is>
          <t>money</t>
        </is>
      </c>
      <c r="U67" s="10" t="inlineStr"/>
      <c r="V67" s="33" t="inlineStr">
        <is>
          <t>6</t>
        </is>
      </c>
    </row>
    <row r="68">
      <c r="A68" s="32" t="inlineStr">
        <is>
          <t>F066</t>
        </is>
      </c>
      <c r="B68" s="32" t="inlineStr">
        <is>
          <t>Not started</t>
        </is>
      </c>
      <c r="C68" s="32" t="inlineStr">
        <is>
          <t>Session 1</t>
        </is>
      </c>
      <c r="D68" s="32" t="inlineStr">
        <is>
          <t>Needs</t>
        </is>
      </c>
      <c r="E68" s="32" t="inlineStr">
        <is>
          <t>Wants</t>
        </is>
      </c>
      <c r="F68" s="32" t="inlineStr">
        <is>
          <t>Wants bucket (one total)</t>
        </is>
      </c>
      <c r="G68" s="32" t="inlineStr">
        <is>
          <t>Primary</t>
        </is>
      </c>
      <c r="H68" s="32" t="inlineStr">
        <is>
          <t>Amount plus frequency (weekly, monthly, yearly, one-off)</t>
        </is>
      </c>
      <c r="I68" s="32" t="inlineStr">
        <is>
          <t>DRAFTT and FAT shares, Lean FI (FAT costs), estimate vs actual</t>
        </is>
      </c>
      <c r="J68" s="32" t="inlineStr">
        <is>
          <t>Every line: covered/shared options, my share or split by count, should-get-this, N/A</t>
        </is>
      </c>
      <c r="K68" s="32" t="inlineStr">
        <is>
          <t>Client</t>
        </is>
      </c>
      <c r="L68" s="32" t="n"/>
      <c r="M68" s="32" t="inlineStr">
        <is>
          <t>All</t>
        </is>
      </c>
      <c r="N68" s="32" t="inlineStr">
        <is>
          <t>High</t>
        </is>
      </c>
      <c r="O68" s="32" t="n"/>
      <c r="P68" s="32" t="inlineStr">
        <is>
          <t>Now</t>
        </is>
      </c>
      <c r="Q68" s="32" t="inlineStr">
        <is>
          <t>One bucket for now (no Need/Want tagging yet)</t>
        </is>
      </c>
      <c r="S68" s="10" t="inlineStr">
        <is>
          <t>Spending › Budget</t>
        </is>
      </c>
      <c r="T68" s="10" t="inlineStr">
        <is>
          <t>money</t>
        </is>
      </c>
      <c r="U68" s="10" t="inlineStr"/>
      <c r="V68" s="33" t="inlineStr">
        <is>
          <t>6</t>
        </is>
      </c>
    </row>
    <row r="69">
      <c r="A69" s="32" t="inlineStr">
        <is>
          <t>F067</t>
        </is>
      </c>
      <c r="B69" s="32" t="inlineStr">
        <is>
          <t>Not started</t>
        </is>
      </c>
      <c r="C69" s="32" t="inlineStr">
        <is>
          <t>Session 1</t>
        </is>
      </c>
      <c r="D69" s="32" t="inlineStr">
        <is>
          <t>Needs</t>
        </is>
      </c>
      <c r="E69" s="32" t="inlineStr">
        <is>
          <t>Wants</t>
        </is>
      </c>
      <c r="F69" s="32" t="inlineStr">
        <is>
          <t>Travel</t>
        </is>
      </c>
      <c r="G69" s="32" t="inlineStr">
        <is>
          <t>Secondary</t>
        </is>
      </c>
      <c r="H69" s="32" t="inlineStr">
        <is>
          <t>Amount plus frequency (weekly, monthly, yearly, one-off)</t>
        </is>
      </c>
      <c r="I69" s="32" t="inlineStr">
        <is>
          <t>DRAFTT and FAT shares, Lean FI (FAT costs), estimate vs actual</t>
        </is>
      </c>
      <c r="J69" s="32" t="inlineStr">
        <is>
          <t>Every line: covered/shared options, my share or split by count, should-get-this, N/A</t>
        </is>
      </c>
      <c r="K69" s="32" t="inlineStr">
        <is>
          <t>Client</t>
        </is>
      </c>
      <c r="L69" s="32" t="n"/>
      <c r="M69" s="32" t="inlineStr">
        <is>
          <t>All</t>
        </is>
      </c>
      <c r="N69" s="32" t="inlineStr">
        <is>
          <t>Medium</t>
        </is>
      </c>
      <c r="O69" s="32" t="n"/>
      <c r="P69" s="32" t="inlineStr">
        <is>
          <t>Now</t>
        </is>
      </c>
      <c r="Q69" s="32" t="n"/>
      <c r="S69" s="10" t="inlineStr">
        <is>
          <t>Spending › Budget</t>
        </is>
      </c>
      <c r="T69" s="10" t="inlineStr">
        <is>
          <t>money</t>
        </is>
      </c>
      <c r="U69" s="10" t="inlineStr"/>
      <c r="V69" s="33" t="inlineStr">
        <is>
          <t>6</t>
        </is>
      </c>
    </row>
    <row r="70">
      <c r="A70" s="32" t="inlineStr">
        <is>
          <t>F068</t>
        </is>
      </c>
      <c r="B70" s="32" t="inlineStr">
        <is>
          <t>Not started</t>
        </is>
      </c>
      <c r="C70" s="32" t="inlineStr">
        <is>
          <t>Session 1</t>
        </is>
      </c>
      <c r="D70" s="32" t="inlineStr">
        <is>
          <t>Needs</t>
        </is>
      </c>
      <c r="E70" s="32" t="inlineStr">
        <is>
          <t>Wants</t>
        </is>
      </c>
      <c r="F70" s="32" t="inlineStr">
        <is>
          <t>Gifts and giving</t>
        </is>
      </c>
      <c r="G70" s="32" t="inlineStr">
        <is>
          <t>Secondary</t>
        </is>
      </c>
      <c r="H70" s="32" t="inlineStr">
        <is>
          <t>Amount plus frequency (weekly, monthly, yearly, one-off)</t>
        </is>
      </c>
      <c r="I70" s="32" t="inlineStr">
        <is>
          <t>DRAFTT and FAT shares, Lean FI (FAT costs), estimate vs actual</t>
        </is>
      </c>
      <c r="J70" s="32" t="inlineStr">
        <is>
          <t>Every line: covered/shared options, my share or split by count, should-get-this, N/A</t>
        </is>
      </c>
      <c r="K70" s="32" t="inlineStr">
        <is>
          <t>Client</t>
        </is>
      </c>
      <c r="L70" s="32" t="n"/>
      <c r="M70" s="32" t="inlineStr">
        <is>
          <t>All</t>
        </is>
      </c>
      <c r="N70" s="32" t="inlineStr">
        <is>
          <t>Low</t>
        </is>
      </c>
      <c r="O70" s="32" t="n"/>
      <c r="P70" s="32" t="inlineStr">
        <is>
          <t>Now</t>
        </is>
      </c>
      <c r="Q70" s="32" t="n"/>
      <c r="S70" s="10" t="inlineStr">
        <is>
          <t>Spending › Budget</t>
        </is>
      </c>
      <c r="T70" s="10" t="inlineStr">
        <is>
          <t>money</t>
        </is>
      </c>
      <c r="U70" s="10" t="inlineStr"/>
      <c r="V70" s="33" t="inlineStr">
        <is>
          <t>6</t>
        </is>
      </c>
    </row>
    <row r="71">
      <c r="A71" s="32" t="inlineStr">
        <is>
          <t>F069</t>
        </is>
      </c>
      <c r="B71" s="32" t="inlineStr">
        <is>
          <t>Not started</t>
        </is>
      </c>
      <c r="C71" s="32" t="inlineStr">
        <is>
          <t>Session 1</t>
        </is>
      </c>
      <c r="D71" s="32" t="inlineStr">
        <is>
          <t>Needs</t>
        </is>
      </c>
      <c r="E71" s="32" t="inlineStr">
        <is>
          <t>Wants</t>
        </is>
      </c>
      <c r="F71" s="32" t="inlineStr">
        <is>
          <t>Money sent to family</t>
        </is>
      </c>
      <c r="G71" s="32" t="inlineStr">
        <is>
          <t>Secondary</t>
        </is>
      </c>
      <c r="H71" s="32" t="inlineStr">
        <is>
          <t>Amount plus frequency (weekly, monthly, yearly, one-off)</t>
        </is>
      </c>
      <c r="I71" s="32" t="inlineStr">
        <is>
          <t>DRAFTT and FAT shares, Lean FI (FAT costs), estimate vs actual</t>
        </is>
      </c>
      <c r="J71" s="32" t="inlineStr">
        <is>
          <t>Every line: covered/shared options, my share or split by count, should-get-this, N/A</t>
        </is>
      </c>
      <c r="K71" s="32" t="inlineStr">
        <is>
          <t>Client</t>
        </is>
      </c>
      <c r="L71" s="32" t="n"/>
      <c r="M71" s="32" t="inlineStr">
        <is>
          <t>All</t>
        </is>
      </c>
      <c r="N71" s="32" t="inlineStr">
        <is>
          <t>Medium</t>
        </is>
      </c>
      <c r="O71" s="32" t="n"/>
      <c r="P71" s="32" t="inlineStr">
        <is>
          <t>Now</t>
        </is>
      </c>
      <c r="Q71" s="32" t="inlineStr">
        <is>
          <t>Support you give</t>
        </is>
      </c>
      <c r="S71" s="10" t="inlineStr">
        <is>
          <t>Spending › Budget</t>
        </is>
      </c>
      <c r="T71" s="10" t="inlineStr">
        <is>
          <t>money</t>
        </is>
      </c>
      <c r="U71" s="10" t="inlineStr"/>
      <c r="V71" s="33" t="inlineStr">
        <is>
          <t>6</t>
        </is>
      </c>
    </row>
    <row r="72">
      <c r="A72" s="32" t="inlineStr">
        <is>
          <t>F070</t>
        </is>
      </c>
      <c r="B72" s="32" t="inlineStr">
        <is>
          <t>Not started</t>
        </is>
      </c>
      <c r="C72" s="32" t="inlineStr">
        <is>
          <t>Session 1</t>
        </is>
      </c>
      <c r="D72" s="32" t="inlineStr">
        <is>
          <t>Needs</t>
        </is>
      </c>
      <c r="E72" s="32" t="inlineStr">
        <is>
          <t>Kids</t>
        </is>
      </c>
      <c r="F72" s="32" t="inlineStr">
        <is>
          <t>Childcare and babysitting</t>
        </is>
      </c>
      <c r="G72" s="32" t="inlineStr">
        <is>
          <t>Secondary</t>
        </is>
      </c>
      <c r="H72" s="32" t="inlineStr">
        <is>
          <t>Amount plus frequency (weekly, monthly, yearly, one-off)</t>
        </is>
      </c>
      <c r="I72" s="32" t="inlineStr">
        <is>
          <t>DRAFTT and FAT shares, Lean FI (FAT costs), estimate vs actual</t>
        </is>
      </c>
      <c r="J72" s="32" t="inlineStr">
        <is>
          <t>Every line: covered/shared options, my share or split by count, should-get-this, N/A</t>
        </is>
      </c>
      <c r="K72" s="32" t="inlineStr">
        <is>
          <t>Client</t>
        </is>
      </c>
      <c r="L72" s="32" t="n"/>
      <c r="M72" s="32" t="inlineStr">
        <is>
          <t>All</t>
        </is>
      </c>
      <c r="N72" s="32" t="inlineStr">
        <is>
          <t>High</t>
        </is>
      </c>
      <c r="O72" s="32" t="n"/>
      <c r="P72" s="32" t="inlineStr">
        <is>
          <t>Now</t>
        </is>
      </c>
      <c r="Q72" s="32" t="inlineStr">
        <is>
          <t>Only if dependents; Your comment: if no dependents ignore; build out comprehensive</t>
        </is>
      </c>
      <c r="S72" s="10" t="inlineStr">
        <is>
          <t>Spending › Budget</t>
        </is>
      </c>
      <c r="T72" s="10" t="inlineStr">
        <is>
          <t>money</t>
        </is>
      </c>
      <c r="U72" s="10" t="inlineStr"/>
      <c r="V72" s="33" t="inlineStr">
        <is>
          <t>6</t>
        </is>
      </c>
    </row>
    <row r="73">
      <c r="A73" s="32" t="inlineStr">
        <is>
          <t>F071</t>
        </is>
      </c>
      <c r="B73" s="32" t="inlineStr">
        <is>
          <t>Not started</t>
        </is>
      </c>
      <c r="C73" s="32" t="inlineStr">
        <is>
          <t>Session 1</t>
        </is>
      </c>
      <c r="D73" s="32" t="inlineStr">
        <is>
          <t>Needs</t>
        </is>
      </c>
      <c r="E73" s="32" t="inlineStr">
        <is>
          <t>Kids</t>
        </is>
      </c>
      <c r="F73" s="32" t="inlineStr">
        <is>
          <t>Diapers, formula, baby supplies</t>
        </is>
      </c>
      <c r="G73" s="32" t="inlineStr">
        <is>
          <t>Secondary</t>
        </is>
      </c>
      <c r="H73" s="32" t="inlineStr">
        <is>
          <t>Amount plus frequency (weekly, monthly, yearly, one-off)</t>
        </is>
      </c>
      <c r="I73" s="32" t="inlineStr">
        <is>
          <t>DRAFTT and FAT shares, Lean FI (FAT costs), estimate vs actual</t>
        </is>
      </c>
      <c r="J73" s="32" t="inlineStr">
        <is>
          <t>Every line: covered/shared options, my share or split by count, should-get-this, N/A</t>
        </is>
      </c>
      <c r="K73" s="32" t="inlineStr">
        <is>
          <t>Client</t>
        </is>
      </c>
      <c r="L73" s="32" t="n"/>
      <c r="M73" s="32" t="inlineStr">
        <is>
          <t>All</t>
        </is>
      </c>
      <c r="N73" s="32" t="inlineStr">
        <is>
          <t>Medium</t>
        </is>
      </c>
      <c r="O73" s="32" t="n"/>
      <c r="P73" s="32" t="inlineStr">
        <is>
          <t>Now</t>
        </is>
      </c>
      <c r="Q73" s="32" t="inlineStr">
        <is>
          <t>Only if dependents</t>
        </is>
      </c>
      <c r="S73" s="10" t="inlineStr">
        <is>
          <t>Spending › Budget</t>
        </is>
      </c>
      <c r="T73" s="10" t="inlineStr">
        <is>
          <t>money</t>
        </is>
      </c>
      <c r="U73" s="10" t="inlineStr"/>
      <c r="V73" s="33" t="inlineStr">
        <is>
          <t>6</t>
        </is>
      </c>
    </row>
    <row r="74">
      <c r="A74" s="32" t="inlineStr">
        <is>
          <t>F072</t>
        </is>
      </c>
      <c r="B74" s="32" t="inlineStr">
        <is>
          <t>Not started</t>
        </is>
      </c>
      <c r="C74" s="32" t="inlineStr">
        <is>
          <t>Session 1</t>
        </is>
      </c>
      <c r="D74" s="32" t="inlineStr">
        <is>
          <t>Needs</t>
        </is>
      </c>
      <c r="E74" s="32" t="inlineStr">
        <is>
          <t>Kids</t>
        </is>
      </c>
      <c r="F74" s="32" t="inlineStr">
        <is>
          <t>Clothes and shoes</t>
        </is>
      </c>
      <c r="G74" s="32" t="inlineStr">
        <is>
          <t>Secondary</t>
        </is>
      </c>
      <c r="H74" s="32" t="inlineStr">
        <is>
          <t>Amount plus frequency (weekly, monthly, yearly, one-off)</t>
        </is>
      </c>
      <c r="I74" s="32" t="inlineStr">
        <is>
          <t>DRAFTT and FAT shares, Lean FI (FAT costs), estimate vs actual</t>
        </is>
      </c>
      <c r="J74" s="32" t="inlineStr">
        <is>
          <t>Every line: covered/shared options, my share or split by count, should-get-this, N/A</t>
        </is>
      </c>
      <c r="K74" s="32" t="inlineStr">
        <is>
          <t>Client</t>
        </is>
      </c>
      <c r="L74" s="32" t="n"/>
      <c r="M74" s="32" t="inlineStr">
        <is>
          <t>All</t>
        </is>
      </c>
      <c r="N74" s="32" t="inlineStr">
        <is>
          <t>Medium</t>
        </is>
      </c>
      <c r="O74" s="32" t="n"/>
      <c r="P74" s="32" t="inlineStr">
        <is>
          <t>Now</t>
        </is>
      </c>
      <c r="Q74" s="32" t="inlineStr">
        <is>
          <t>Only if dependents</t>
        </is>
      </c>
      <c r="S74" s="10" t="inlineStr">
        <is>
          <t>Spending › Budget</t>
        </is>
      </c>
      <c r="T74" s="10" t="inlineStr">
        <is>
          <t>money</t>
        </is>
      </c>
      <c r="U74" s="10" t="inlineStr"/>
      <c r="V74" s="33" t="inlineStr">
        <is>
          <t>6</t>
        </is>
      </c>
    </row>
    <row r="75">
      <c r="A75" s="32" t="inlineStr">
        <is>
          <t>F073</t>
        </is>
      </c>
      <c r="B75" s="32" t="inlineStr">
        <is>
          <t>Not started</t>
        </is>
      </c>
      <c r="C75" s="32" t="inlineStr">
        <is>
          <t>Session 1</t>
        </is>
      </c>
      <c r="D75" s="32" t="inlineStr">
        <is>
          <t>Needs</t>
        </is>
      </c>
      <c r="E75" s="32" t="inlineStr">
        <is>
          <t>Kids</t>
        </is>
      </c>
      <c r="F75" s="32" t="inlineStr">
        <is>
          <t>School tuition and fees</t>
        </is>
      </c>
      <c r="G75" s="32" t="inlineStr">
        <is>
          <t>Secondary</t>
        </is>
      </c>
      <c r="H75" s="32" t="inlineStr">
        <is>
          <t>Amount plus frequency (weekly, monthly, yearly, one-off)</t>
        </is>
      </c>
      <c r="I75" s="32" t="inlineStr">
        <is>
          <t>DRAFTT and FAT shares, Lean FI (FAT costs), estimate vs actual</t>
        </is>
      </c>
      <c r="J75" s="32" t="inlineStr">
        <is>
          <t>Every line: covered/shared options, my share or split by count, should-get-this, N/A</t>
        </is>
      </c>
      <c r="K75" s="32" t="inlineStr">
        <is>
          <t>Client</t>
        </is>
      </c>
      <c r="L75" s="32" t="n"/>
      <c r="M75" s="32" t="inlineStr">
        <is>
          <t>All</t>
        </is>
      </c>
      <c r="N75" s="32" t="inlineStr">
        <is>
          <t>High</t>
        </is>
      </c>
      <c r="O75" s="32" t="n"/>
      <c r="P75" s="32" t="inlineStr">
        <is>
          <t>Now</t>
        </is>
      </c>
      <c r="Q75" s="32" t="inlineStr">
        <is>
          <t>Only if dependents</t>
        </is>
      </c>
      <c r="S75" s="10" t="inlineStr">
        <is>
          <t>Spending › Budget</t>
        </is>
      </c>
      <c r="T75" s="10" t="inlineStr">
        <is>
          <t>money</t>
        </is>
      </c>
      <c r="U75" s="10" t="inlineStr"/>
      <c r="V75" s="33" t="inlineStr">
        <is>
          <t>6</t>
        </is>
      </c>
    </row>
    <row r="76">
      <c r="A76" s="32" t="inlineStr">
        <is>
          <t>F074</t>
        </is>
      </c>
      <c r="B76" s="32" t="inlineStr">
        <is>
          <t>Not started</t>
        </is>
      </c>
      <c r="C76" s="32" t="inlineStr">
        <is>
          <t>Session 1</t>
        </is>
      </c>
      <c r="D76" s="32" t="inlineStr">
        <is>
          <t>Needs</t>
        </is>
      </c>
      <c r="E76" s="32" t="inlineStr">
        <is>
          <t>Kids</t>
        </is>
      </c>
      <c r="F76" s="32" t="inlineStr">
        <is>
          <t>Activities, camps, lessons</t>
        </is>
      </c>
      <c r="G76" s="32" t="inlineStr">
        <is>
          <t>Secondary</t>
        </is>
      </c>
      <c r="H76" s="32" t="inlineStr">
        <is>
          <t>Amount plus frequency (weekly, monthly, yearly, one-off)</t>
        </is>
      </c>
      <c r="I76" s="32" t="inlineStr">
        <is>
          <t>DRAFTT and FAT shares, Lean FI (FAT costs), estimate vs actual</t>
        </is>
      </c>
      <c r="J76" s="32" t="inlineStr">
        <is>
          <t>Every line: covered/shared options, my share or split by count, should-get-this, N/A</t>
        </is>
      </c>
      <c r="K76" s="32" t="inlineStr">
        <is>
          <t>Client</t>
        </is>
      </c>
      <c r="L76" s="32" t="n"/>
      <c r="M76" s="32" t="inlineStr">
        <is>
          <t>All</t>
        </is>
      </c>
      <c r="N76" s="32" t="inlineStr">
        <is>
          <t>Medium</t>
        </is>
      </c>
      <c r="O76" s="32" t="n"/>
      <c r="P76" s="32" t="inlineStr">
        <is>
          <t>Now</t>
        </is>
      </c>
      <c r="Q76" s="32" t="inlineStr">
        <is>
          <t>Only if dependents</t>
        </is>
      </c>
      <c r="S76" s="10" t="inlineStr">
        <is>
          <t>Spending › Budget</t>
        </is>
      </c>
      <c r="T76" s="10" t="inlineStr">
        <is>
          <t>money</t>
        </is>
      </c>
      <c r="U76" s="10" t="inlineStr"/>
      <c r="V76" s="33" t="inlineStr">
        <is>
          <t>6</t>
        </is>
      </c>
    </row>
    <row r="77">
      <c r="A77" s="32" t="inlineStr">
        <is>
          <t>F075</t>
        </is>
      </c>
      <c r="B77" s="32" t="inlineStr">
        <is>
          <t>Not started</t>
        </is>
      </c>
      <c r="C77" s="32" t="inlineStr">
        <is>
          <t>Session 2+</t>
        </is>
      </c>
      <c r="D77" s="32" t="inlineStr">
        <is>
          <t>Needs</t>
        </is>
      </c>
      <c r="E77" s="32" t="inlineStr">
        <is>
          <t>Kids</t>
        </is>
      </c>
      <c r="F77" s="32" t="inlineStr">
        <is>
          <t>Kids' medical and dental</t>
        </is>
      </c>
      <c r="G77" s="32" t="inlineStr">
        <is>
          <t>Tertiary</t>
        </is>
      </c>
      <c r="H77" s="32" t="inlineStr">
        <is>
          <t>Amount plus frequency (weekly, monthly, yearly, one-off)</t>
        </is>
      </c>
      <c r="I77" s="32" t="inlineStr">
        <is>
          <t>DRAFTT and FAT shares, Lean FI (FAT costs), estimate vs actual</t>
        </is>
      </c>
      <c r="J77" s="32" t="inlineStr">
        <is>
          <t>Every line: covered/shared options, my share or split by count, should-get-this, N/A</t>
        </is>
      </c>
      <c r="K77" s="32" t="inlineStr">
        <is>
          <t>Client</t>
        </is>
      </c>
      <c r="L77" s="32" t="n"/>
      <c r="M77" s="32" t="inlineStr">
        <is>
          <t>All</t>
        </is>
      </c>
      <c r="N77" s="32" t="inlineStr">
        <is>
          <t>Medium</t>
        </is>
      </c>
      <c r="O77" s="32" t="n"/>
      <c r="P77" s="32" t="inlineStr">
        <is>
          <t>Now</t>
        </is>
      </c>
      <c r="Q77" s="32" t="inlineStr">
        <is>
          <t>Only if dependents</t>
        </is>
      </c>
      <c r="S77" s="10" t="inlineStr">
        <is>
          <t>Spending › Budget</t>
        </is>
      </c>
      <c r="T77" s="10" t="inlineStr">
        <is>
          <t>money</t>
        </is>
      </c>
      <c r="U77" s="10" t="inlineStr"/>
      <c r="V77" s="33" t="inlineStr">
        <is>
          <t>6</t>
        </is>
      </c>
    </row>
    <row r="78">
      <c r="A78" s="32" t="inlineStr">
        <is>
          <t>F076</t>
        </is>
      </c>
      <c r="B78" s="32" t="inlineStr">
        <is>
          <t>Not started</t>
        </is>
      </c>
      <c r="C78" s="32" t="inlineStr">
        <is>
          <t>Session 2+</t>
        </is>
      </c>
      <c r="D78" s="32" t="inlineStr">
        <is>
          <t>Needs</t>
        </is>
      </c>
      <c r="E78" s="32" t="inlineStr">
        <is>
          <t>Kids</t>
        </is>
      </c>
      <c r="F78" s="32" t="inlineStr">
        <is>
          <t>Toys, birthdays, school supplies</t>
        </is>
      </c>
      <c r="G78" s="32" t="inlineStr">
        <is>
          <t>Tertiary</t>
        </is>
      </c>
      <c r="H78" s="32" t="inlineStr">
        <is>
          <t>Amount plus frequency (weekly, monthly, yearly, one-off)</t>
        </is>
      </c>
      <c r="I78" s="32" t="inlineStr">
        <is>
          <t>DRAFTT and FAT shares, Lean FI (FAT costs), estimate vs actual</t>
        </is>
      </c>
      <c r="J78" s="32" t="inlineStr">
        <is>
          <t>Every line: covered/shared options, my share or split by count, should-get-this, N/A</t>
        </is>
      </c>
      <c r="K78" s="32" t="inlineStr">
        <is>
          <t>Client</t>
        </is>
      </c>
      <c r="L78" s="32" t="n"/>
      <c r="M78" s="32" t="inlineStr">
        <is>
          <t>All</t>
        </is>
      </c>
      <c r="N78" s="32" t="inlineStr">
        <is>
          <t>Low</t>
        </is>
      </c>
      <c r="O78" s="32" t="n"/>
      <c r="P78" s="32" t="inlineStr">
        <is>
          <t>Now</t>
        </is>
      </c>
      <c r="Q78" s="32" t="inlineStr">
        <is>
          <t>Only if dependents</t>
        </is>
      </c>
      <c r="S78" s="10" t="inlineStr">
        <is>
          <t>Spending › Budget</t>
        </is>
      </c>
      <c r="T78" s="10" t="inlineStr">
        <is>
          <t>money</t>
        </is>
      </c>
      <c r="U78" s="10" t="inlineStr"/>
      <c r="V78" s="33" t="inlineStr">
        <is>
          <t>6</t>
        </is>
      </c>
    </row>
    <row r="79">
      <c r="A79" s="32" t="inlineStr">
        <is>
          <t>F077</t>
        </is>
      </c>
      <c r="B79" s="32" t="inlineStr">
        <is>
          <t>Not started</t>
        </is>
      </c>
      <c r="C79" s="32" t="inlineStr">
        <is>
          <t>Session 2+</t>
        </is>
      </c>
      <c r="D79" s="32" t="inlineStr">
        <is>
          <t>Needs</t>
        </is>
      </c>
      <c r="E79" s="32" t="inlineStr">
        <is>
          <t>Kids</t>
        </is>
      </c>
      <c r="F79" s="32" t="inlineStr">
        <is>
          <t>Allowance and phone</t>
        </is>
      </c>
      <c r="G79" s="32" t="inlineStr">
        <is>
          <t>Tertiary</t>
        </is>
      </c>
      <c r="H79" s="32" t="inlineStr">
        <is>
          <t>Amount plus frequency (weekly, monthly, yearly, one-off)</t>
        </is>
      </c>
      <c r="I79" s="32" t="inlineStr">
        <is>
          <t>DRAFTT and FAT shares, Lean FI (FAT costs), estimate vs actual</t>
        </is>
      </c>
      <c r="J79" s="32" t="inlineStr">
        <is>
          <t>Every line: covered/shared options, my share or split by count, should-get-this, N/A</t>
        </is>
      </c>
      <c r="K79" s="32" t="inlineStr">
        <is>
          <t>Client</t>
        </is>
      </c>
      <c r="L79" s="32" t="n"/>
      <c r="M79" s="32" t="inlineStr">
        <is>
          <t>All</t>
        </is>
      </c>
      <c r="N79" s="32" t="inlineStr">
        <is>
          <t>Low</t>
        </is>
      </c>
      <c r="O79" s="32" t="n"/>
      <c r="P79" s="32" t="inlineStr">
        <is>
          <t>Now</t>
        </is>
      </c>
      <c r="Q79" s="32" t="inlineStr">
        <is>
          <t>Only if dependents</t>
        </is>
      </c>
      <c r="S79" s="10" t="inlineStr">
        <is>
          <t>Spending › Budget</t>
        </is>
      </c>
      <c r="T79" s="10" t="inlineStr">
        <is>
          <t>money</t>
        </is>
      </c>
      <c r="U79" s="10" t="inlineStr"/>
      <c r="V79" s="33" t="inlineStr">
        <is>
          <t>6</t>
        </is>
      </c>
    </row>
    <row r="80">
      <c r="A80" s="32" t="inlineStr">
        <is>
          <t>F078</t>
        </is>
      </c>
      <c r="B80" s="32" t="inlineStr">
        <is>
          <t>Not started</t>
        </is>
      </c>
      <c r="C80" s="32" t="inlineStr">
        <is>
          <t>Session 2+</t>
        </is>
      </c>
      <c r="D80" s="32" t="inlineStr">
        <is>
          <t>Needs</t>
        </is>
      </c>
      <c r="E80" s="32" t="inlineStr">
        <is>
          <t>Kids</t>
        </is>
      </c>
      <c r="F80" s="32" t="inlineStr">
        <is>
          <t>529 or savings for kids</t>
        </is>
      </c>
      <c r="G80" s="32" t="inlineStr">
        <is>
          <t>Tertiary</t>
        </is>
      </c>
      <c r="H80" s="32" t="inlineStr">
        <is>
          <t>Amount plus frequency (weekly, monthly, yearly, one-off)</t>
        </is>
      </c>
      <c r="I80" s="32" t="inlineStr">
        <is>
          <t>DRAFTT and FAT shares, Lean FI (FAT costs), estimate vs actual</t>
        </is>
      </c>
      <c r="J80" s="32" t="inlineStr">
        <is>
          <t>Every line: covered/shared options, my share or split by count, should-get-this, N/A</t>
        </is>
      </c>
      <c r="K80" s="32" t="inlineStr">
        <is>
          <t>Client</t>
        </is>
      </c>
      <c r="L80" s="32" t="n"/>
      <c r="M80" s="32" t="inlineStr">
        <is>
          <t>All</t>
        </is>
      </c>
      <c r="N80" s="32" t="inlineStr">
        <is>
          <t>Medium</t>
        </is>
      </c>
      <c r="O80" s="32" t="n"/>
      <c r="P80" s="32" t="inlineStr">
        <is>
          <t>Now</t>
        </is>
      </c>
      <c r="Q80" s="32" t="inlineStr">
        <is>
          <t>Only if dependents. Links to Assets</t>
        </is>
      </c>
      <c r="S80" s="10" t="inlineStr">
        <is>
          <t>Spending › Budget</t>
        </is>
      </c>
      <c r="T80" s="10" t="inlineStr">
        <is>
          <t>money</t>
        </is>
      </c>
      <c r="U80" s="10" t="inlineStr"/>
      <c r="V80" s="33" t="inlineStr">
        <is>
          <t>6</t>
        </is>
      </c>
    </row>
    <row r="81">
      <c r="A81" s="32" t="inlineStr">
        <is>
          <t>F079</t>
        </is>
      </c>
      <c r="B81" s="32" t="inlineStr">
        <is>
          <t>Not started</t>
        </is>
      </c>
      <c r="C81" s="32" t="inlineStr">
        <is>
          <t>Session 1</t>
        </is>
      </c>
      <c r="D81" s="32" t="inlineStr">
        <is>
          <t>Needs</t>
        </is>
      </c>
      <c r="E81" s="32" t="inlineStr">
        <is>
          <t>Pets</t>
        </is>
      </c>
      <c r="F81" s="32" t="inlineStr">
        <is>
          <t>Pet food</t>
        </is>
      </c>
      <c r="G81" s="32" t="inlineStr">
        <is>
          <t>Secondary</t>
        </is>
      </c>
      <c r="H81" s="32" t="inlineStr">
        <is>
          <t>Amount plus frequency (weekly, monthly, yearly, one-off)</t>
        </is>
      </c>
      <c r="I81" s="32" t="inlineStr">
        <is>
          <t>DRAFTT and FAT shares, Lean FI (FAT costs), estimate vs actual</t>
        </is>
      </c>
      <c r="J81" s="32" t="inlineStr">
        <is>
          <t>Every line: covered/shared options, my share or split by count, should-get-this, N/A</t>
        </is>
      </c>
      <c r="K81" s="32" t="inlineStr">
        <is>
          <t>Client</t>
        </is>
      </c>
      <c r="L81" s="32" t="n"/>
      <c r="M81" s="32" t="inlineStr">
        <is>
          <t>All</t>
        </is>
      </c>
      <c r="N81" s="32" t="inlineStr">
        <is>
          <t>Medium</t>
        </is>
      </c>
      <c r="O81" s="32" t="n"/>
      <c r="P81" s="32" t="inlineStr">
        <is>
          <t>Now</t>
        </is>
      </c>
      <c r="Q81" s="32" t="inlineStr">
        <is>
          <t>Only if they have pets; Your comment: comprehensive, include pet insurance, with split and covered</t>
        </is>
      </c>
      <c r="S81" s="10" t="inlineStr">
        <is>
          <t>Spending › Budget</t>
        </is>
      </c>
      <c r="T81" s="10" t="inlineStr">
        <is>
          <t>money</t>
        </is>
      </c>
      <c r="U81" s="10" t="inlineStr"/>
      <c r="V81" s="33" t="inlineStr">
        <is>
          <t>6</t>
        </is>
      </c>
    </row>
    <row r="82">
      <c r="A82" s="32" t="inlineStr">
        <is>
          <t>F080</t>
        </is>
      </c>
      <c r="B82" s="32" t="inlineStr">
        <is>
          <t>Not started</t>
        </is>
      </c>
      <c r="C82" s="32" t="inlineStr">
        <is>
          <t>Session 1</t>
        </is>
      </c>
      <c r="D82" s="32" t="inlineStr">
        <is>
          <t>Needs</t>
        </is>
      </c>
      <c r="E82" s="32" t="inlineStr">
        <is>
          <t>Pets</t>
        </is>
      </c>
      <c r="F82" s="32" t="inlineStr">
        <is>
          <t>Vet visits and vaccines</t>
        </is>
      </c>
      <c r="G82" s="32" t="inlineStr">
        <is>
          <t>Secondary</t>
        </is>
      </c>
      <c r="H82" s="32" t="inlineStr">
        <is>
          <t>Amount plus frequency (weekly, monthly, yearly, one-off)</t>
        </is>
      </c>
      <c r="I82" s="32" t="inlineStr">
        <is>
          <t>DRAFTT and FAT shares, Lean FI (FAT costs), estimate vs actual</t>
        </is>
      </c>
      <c r="J82" s="32" t="inlineStr">
        <is>
          <t>Every line: covered/shared options, my share or split by count, should-get-this, N/A</t>
        </is>
      </c>
      <c r="K82" s="32" t="inlineStr">
        <is>
          <t>Client</t>
        </is>
      </c>
      <c r="L82" s="32" t="n"/>
      <c r="M82" s="32" t="inlineStr">
        <is>
          <t>All</t>
        </is>
      </c>
      <c r="N82" s="32" t="inlineStr">
        <is>
          <t>Medium</t>
        </is>
      </c>
      <c r="O82" s="32" t="n"/>
      <c r="P82" s="32" t="inlineStr">
        <is>
          <t>Now</t>
        </is>
      </c>
      <c r="Q82" s="32" t="inlineStr">
        <is>
          <t>Only if they have pets</t>
        </is>
      </c>
      <c r="S82" s="10" t="inlineStr">
        <is>
          <t>Spending › Budget</t>
        </is>
      </c>
      <c r="T82" s="10" t="inlineStr">
        <is>
          <t>money</t>
        </is>
      </c>
      <c r="U82" s="10" t="inlineStr"/>
      <c r="V82" s="33" t="inlineStr">
        <is>
          <t>6</t>
        </is>
      </c>
    </row>
    <row r="83">
      <c r="A83" s="32" t="inlineStr">
        <is>
          <t>F081</t>
        </is>
      </c>
      <c r="B83" s="32" t="inlineStr">
        <is>
          <t>Not started</t>
        </is>
      </c>
      <c r="C83" s="32" t="inlineStr">
        <is>
          <t>Session 1</t>
        </is>
      </c>
      <c r="D83" s="32" t="inlineStr">
        <is>
          <t>Needs</t>
        </is>
      </c>
      <c r="E83" s="32" t="inlineStr">
        <is>
          <t>Pets</t>
        </is>
      </c>
      <c r="F83" s="32" t="inlineStr">
        <is>
          <t>Pet insurance</t>
        </is>
      </c>
      <c r="G83" s="32" t="inlineStr">
        <is>
          <t>Secondary</t>
        </is>
      </c>
      <c r="H83" s="32" t="inlineStr">
        <is>
          <t>Amount plus frequency (weekly, monthly, yearly, one-off)</t>
        </is>
      </c>
      <c r="I83" s="32" t="inlineStr">
        <is>
          <t>DRAFTT and FAT shares, Lean FI (FAT costs), estimate vs actual</t>
        </is>
      </c>
      <c r="J83" s="32" t="inlineStr">
        <is>
          <t>Every line: covered/shared options, my share or split by count, should-get-this, N/A</t>
        </is>
      </c>
      <c r="K83" s="32" t="inlineStr">
        <is>
          <t>Client</t>
        </is>
      </c>
      <c r="L83" s="32" t="n"/>
      <c r="M83" s="32" t="inlineStr">
        <is>
          <t>All</t>
        </is>
      </c>
      <c r="N83" s="32" t="inlineStr">
        <is>
          <t>Low</t>
        </is>
      </c>
      <c r="O83" s="32" t="n"/>
      <c r="P83" s="32" t="inlineStr">
        <is>
          <t>Now</t>
        </is>
      </c>
      <c r="Q83" s="32" t="inlineStr">
        <is>
          <t>Only if they have pets</t>
        </is>
      </c>
      <c r="S83" s="10" t="inlineStr">
        <is>
          <t>Spending › Budget</t>
        </is>
      </c>
      <c r="T83" s="10" t="inlineStr">
        <is>
          <t>money</t>
        </is>
      </c>
      <c r="U83" s="10" t="inlineStr"/>
      <c r="V83" s="33" t="inlineStr">
        <is>
          <t>6</t>
        </is>
      </c>
    </row>
    <row r="84">
      <c r="A84" s="32" t="inlineStr">
        <is>
          <t>F082</t>
        </is>
      </c>
      <c r="B84" s="32" t="inlineStr">
        <is>
          <t>Not started</t>
        </is>
      </c>
      <c r="C84" s="32" t="inlineStr">
        <is>
          <t>Session 2+</t>
        </is>
      </c>
      <c r="D84" s="32" t="inlineStr">
        <is>
          <t>Needs</t>
        </is>
      </c>
      <c r="E84" s="32" t="inlineStr">
        <is>
          <t>Pets</t>
        </is>
      </c>
      <c r="F84" s="32" t="inlineStr">
        <is>
          <t>Medications and flea/tick</t>
        </is>
      </c>
      <c r="G84" s="32" t="inlineStr">
        <is>
          <t>Tertiary</t>
        </is>
      </c>
      <c r="H84" s="32" t="inlineStr">
        <is>
          <t>Amount plus frequency (weekly, monthly, yearly, one-off)</t>
        </is>
      </c>
      <c r="I84" s="32" t="inlineStr">
        <is>
          <t>DRAFTT and FAT shares, Lean FI (FAT costs), estimate vs actual</t>
        </is>
      </c>
      <c r="J84" s="32" t="inlineStr">
        <is>
          <t>Every line: covered/shared options, my share or split by count, should-get-this, N/A</t>
        </is>
      </c>
      <c r="K84" s="32" t="inlineStr">
        <is>
          <t>Client</t>
        </is>
      </c>
      <c r="L84" s="32" t="n"/>
      <c r="M84" s="32" t="inlineStr">
        <is>
          <t>All</t>
        </is>
      </c>
      <c r="N84" s="32" t="inlineStr">
        <is>
          <t>Low</t>
        </is>
      </c>
      <c r="O84" s="32" t="n"/>
      <c r="P84" s="32" t="inlineStr">
        <is>
          <t>Now</t>
        </is>
      </c>
      <c r="Q84" s="32" t="inlineStr">
        <is>
          <t>Only if they have pets</t>
        </is>
      </c>
      <c r="S84" s="10" t="inlineStr">
        <is>
          <t>Spending › Budget</t>
        </is>
      </c>
      <c r="T84" s="10" t="inlineStr">
        <is>
          <t>money</t>
        </is>
      </c>
      <c r="U84" s="10" t="inlineStr"/>
      <c r="V84" s="33" t="inlineStr">
        <is>
          <t>6</t>
        </is>
      </c>
    </row>
    <row r="85">
      <c r="A85" s="32" t="inlineStr">
        <is>
          <t>F083</t>
        </is>
      </c>
      <c r="B85" s="32" t="inlineStr">
        <is>
          <t>Not started</t>
        </is>
      </c>
      <c r="C85" s="32" t="inlineStr">
        <is>
          <t>Session 2+</t>
        </is>
      </c>
      <c r="D85" s="32" t="inlineStr">
        <is>
          <t>Needs</t>
        </is>
      </c>
      <c r="E85" s="32" t="inlineStr">
        <is>
          <t>Pets</t>
        </is>
      </c>
      <c r="F85" s="32" t="inlineStr">
        <is>
          <t>Grooming</t>
        </is>
      </c>
      <c r="G85" s="32" t="inlineStr">
        <is>
          <t>Tertiary</t>
        </is>
      </c>
      <c r="H85" s="32" t="inlineStr">
        <is>
          <t>Amount plus frequency (weekly, monthly, yearly, one-off)</t>
        </is>
      </c>
      <c r="I85" s="32" t="inlineStr">
        <is>
          <t>DRAFTT and FAT shares, Lean FI (FAT costs), estimate vs actual</t>
        </is>
      </c>
      <c r="J85" s="32" t="inlineStr">
        <is>
          <t>Every line: covered/shared options, my share or split by count, should-get-this, N/A</t>
        </is>
      </c>
      <c r="K85" s="32" t="inlineStr">
        <is>
          <t>Client</t>
        </is>
      </c>
      <c r="L85" s="32" t="n"/>
      <c r="M85" s="32" t="inlineStr">
        <is>
          <t>All</t>
        </is>
      </c>
      <c r="N85" s="32" t="inlineStr">
        <is>
          <t>Low</t>
        </is>
      </c>
      <c r="O85" s="32" t="n"/>
      <c r="P85" s="32" t="inlineStr">
        <is>
          <t>Now</t>
        </is>
      </c>
      <c r="Q85" s="32" t="inlineStr">
        <is>
          <t>Only if they have pets</t>
        </is>
      </c>
      <c r="S85" s="10" t="inlineStr">
        <is>
          <t>Spending › Budget</t>
        </is>
      </c>
      <c r="T85" s="10" t="inlineStr">
        <is>
          <t>money</t>
        </is>
      </c>
      <c r="U85" s="10" t="inlineStr"/>
      <c r="V85" s="33" t="inlineStr">
        <is>
          <t>6</t>
        </is>
      </c>
    </row>
    <row r="86">
      <c r="A86" s="32" t="inlineStr">
        <is>
          <t>F084</t>
        </is>
      </c>
      <c r="B86" s="32" t="inlineStr">
        <is>
          <t>Not started</t>
        </is>
      </c>
      <c r="C86" s="32" t="inlineStr">
        <is>
          <t>Session 2+</t>
        </is>
      </c>
      <c r="D86" s="32" t="inlineStr">
        <is>
          <t>Needs</t>
        </is>
      </c>
      <c r="E86" s="32" t="inlineStr">
        <is>
          <t>Pets</t>
        </is>
      </c>
      <c r="F86" s="32" t="inlineStr">
        <is>
          <t>Boarding, walker, daycare</t>
        </is>
      </c>
      <c r="G86" s="32" t="inlineStr">
        <is>
          <t>Tertiary</t>
        </is>
      </c>
      <c r="H86" s="32" t="inlineStr">
        <is>
          <t>Amount plus frequency (weekly, monthly, yearly, one-off)</t>
        </is>
      </c>
      <c r="I86" s="32" t="inlineStr">
        <is>
          <t>DRAFTT and FAT shares, Lean FI (FAT costs), estimate vs actual</t>
        </is>
      </c>
      <c r="J86" s="32" t="inlineStr">
        <is>
          <t>Every line: covered/shared options, my share or split by count, should-get-this, N/A</t>
        </is>
      </c>
      <c r="K86" s="32" t="inlineStr">
        <is>
          <t>Client</t>
        </is>
      </c>
      <c r="L86" s="32" t="n"/>
      <c r="M86" s="32" t="inlineStr">
        <is>
          <t>All</t>
        </is>
      </c>
      <c r="N86" s="32" t="inlineStr">
        <is>
          <t>Low</t>
        </is>
      </c>
      <c r="O86" s="32" t="n"/>
      <c r="P86" s="32" t="inlineStr">
        <is>
          <t>Now</t>
        </is>
      </c>
      <c r="Q86" s="32" t="inlineStr">
        <is>
          <t>Only if they have pets</t>
        </is>
      </c>
      <c r="S86" s="10" t="inlineStr">
        <is>
          <t>Spending › Budget</t>
        </is>
      </c>
      <c r="T86" s="10" t="inlineStr">
        <is>
          <t>money</t>
        </is>
      </c>
      <c r="U86" s="10" t="inlineStr"/>
      <c r="V86" s="33" t="inlineStr">
        <is>
          <t>6</t>
        </is>
      </c>
    </row>
    <row r="87">
      <c r="A87" s="32" t="inlineStr">
        <is>
          <t>F085</t>
        </is>
      </c>
      <c r="B87" s="32" t="inlineStr">
        <is>
          <t>Not started</t>
        </is>
      </c>
      <c r="C87" s="32" t="inlineStr">
        <is>
          <t>Session 2+</t>
        </is>
      </c>
      <c r="D87" s="32" t="inlineStr">
        <is>
          <t>Needs</t>
        </is>
      </c>
      <c r="E87" s="32" t="inlineStr">
        <is>
          <t>Pets</t>
        </is>
      </c>
      <c r="F87" s="32" t="inlineStr">
        <is>
          <t>Supplies, toys, litter</t>
        </is>
      </c>
      <c r="G87" s="32" t="inlineStr">
        <is>
          <t>Tertiary</t>
        </is>
      </c>
      <c r="H87" s="32" t="inlineStr">
        <is>
          <t>Amount plus frequency (weekly, monthly, yearly, one-off)</t>
        </is>
      </c>
      <c r="I87" s="32" t="inlineStr">
        <is>
          <t>DRAFTT and FAT shares, Lean FI (FAT costs), estimate vs actual</t>
        </is>
      </c>
      <c r="J87" s="32" t="inlineStr">
        <is>
          <t>Every line: covered/shared options, my share or split by count, should-get-this, N/A</t>
        </is>
      </c>
      <c r="K87" s="32" t="inlineStr">
        <is>
          <t>Client</t>
        </is>
      </c>
      <c r="L87" s="32" t="n"/>
      <c r="M87" s="32" t="inlineStr">
        <is>
          <t>All</t>
        </is>
      </c>
      <c r="N87" s="32" t="inlineStr">
        <is>
          <t>Low</t>
        </is>
      </c>
      <c r="O87" s="32" t="n"/>
      <c r="P87" s="32" t="inlineStr">
        <is>
          <t>Now</t>
        </is>
      </c>
      <c r="Q87" s="32" t="inlineStr">
        <is>
          <t>Only if they have pets</t>
        </is>
      </c>
      <c r="S87" s="10" t="inlineStr">
        <is>
          <t>Spending › Budget</t>
        </is>
      </c>
      <c r="T87" s="10" t="inlineStr">
        <is>
          <t>money</t>
        </is>
      </c>
      <c r="U87" s="10" t="inlineStr"/>
      <c r="V87" s="33" t="inlineStr">
        <is>
          <t>6</t>
        </is>
      </c>
    </row>
    <row r="88">
      <c r="A88" s="32" t="inlineStr">
        <is>
          <t>F086</t>
        </is>
      </c>
      <c r="B88" s="32" t="inlineStr">
        <is>
          <t>Not started</t>
        </is>
      </c>
      <c r="C88" s="32" t="inlineStr">
        <is>
          <t>Session 2+</t>
        </is>
      </c>
      <c r="D88" s="32" t="inlineStr">
        <is>
          <t>Needs</t>
        </is>
      </c>
      <c r="E88" s="32" t="inlineStr">
        <is>
          <t>Other</t>
        </is>
      </c>
      <c r="F88" s="32" t="inlineStr">
        <is>
          <t>Education and courses</t>
        </is>
      </c>
      <c r="G88" s="32" t="inlineStr">
        <is>
          <t>Tertiary</t>
        </is>
      </c>
      <c r="H88" s="32" t="inlineStr">
        <is>
          <t>Amount plus frequency (weekly, monthly, yearly, one-off)</t>
        </is>
      </c>
      <c r="I88" s="32" t="inlineStr">
        <is>
          <t>DRAFTT and FAT shares, Lean FI (FAT costs), estimate vs actual</t>
        </is>
      </c>
      <c r="J88" s="32" t="inlineStr">
        <is>
          <t>Every line: covered/shared options, my share or split by count, should-get-this, N/A</t>
        </is>
      </c>
      <c r="K88" s="32" t="inlineStr">
        <is>
          <t>Client</t>
        </is>
      </c>
      <c r="L88" s="32" t="n"/>
      <c r="M88" s="32" t="inlineStr">
        <is>
          <t>All</t>
        </is>
      </c>
      <c r="N88" s="32" t="inlineStr">
        <is>
          <t>Low</t>
        </is>
      </c>
      <c r="O88" s="32" t="n"/>
      <c r="P88" s="32" t="inlineStr">
        <is>
          <t>Now</t>
        </is>
      </c>
      <c r="Q88" s="32" t="n"/>
      <c r="S88" s="10" t="inlineStr">
        <is>
          <t>Spending › Budget</t>
        </is>
      </c>
      <c r="T88" s="10" t="inlineStr">
        <is>
          <t>money</t>
        </is>
      </c>
      <c r="U88" s="10" t="inlineStr"/>
      <c r="V88" s="33" t="inlineStr">
        <is>
          <t>6</t>
        </is>
      </c>
    </row>
    <row r="89">
      <c r="A89" s="32" t="inlineStr">
        <is>
          <t>F087</t>
        </is>
      </c>
      <c r="B89" s="32" t="inlineStr">
        <is>
          <t>Not started</t>
        </is>
      </c>
      <c r="C89" s="32" t="inlineStr">
        <is>
          <t>Session 1</t>
        </is>
      </c>
      <c r="D89" s="32" t="inlineStr">
        <is>
          <t>Needs</t>
        </is>
      </c>
      <c r="E89" s="32" t="inlineStr">
        <is>
          <t>Each line</t>
        </is>
      </c>
      <c r="F89" s="32" t="inlineStr">
        <is>
          <t>Who pays</t>
        </is>
      </c>
      <c r="G89" s="32" t="inlineStr">
        <is>
          <t>Secondary</t>
        </is>
      </c>
      <c r="H89" s="32" t="inlineStr">
        <is>
          <t>Pick: me, split, included in rent, covered by someone else, N/A</t>
        </is>
      </c>
      <c r="I89" s="32" t="inlineStr">
        <is>
          <t>Your comment: shared or covered options for everything</t>
        </is>
      </c>
      <c r="J89" s="32" t="inlineStr">
        <is>
          <t>Shows behind each line's caret</t>
        </is>
      </c>
      <c r="K89" s="32" t="inlineStr">
        <is>
          <t>Client</t>
        </is>
      </c>
      <c r="L89" s="32" t="n"/>
      <c r="M89" s="32" t="inlineStr">
        <is>
          <t>All</t>
        </is>
      </c>
      <c r="N89" s="32" t="inlineStr">
        <is>
          <t>Medium</t>
        </is>
      </c>
      <c r="O89" s="32" t="n"/>
      <c r="P89" s="32" t="inlineStr">
        <is>
          <t>Now</t>
        </is>
      </c>
      <c r="Q89" s="32" t="n"/>
      <c r="S89" s="10" t="inlineStr">
        <is>
          <t>Spending › Budget</t>
        </is>
      </c>
      <c r="T89" s="10" t="inlineStr">
        <is>
          <t>choice</t>
        </is>
      </c>
      <c r="U89" s="10" t="inlineStr">
        <is>
          <t>me, split, included in rent, covered by someone else, N/A</t>
        </is>
      </c>
      <c r="V89" s="33" t="inlineStr">
        <is>
          <t>6</t>
        </is>
      </c>
    </row>
    <row r="90">
      <c r="A90" s="32" t="inlineStr">
        <is>
          <t>F088</t>
        </is>
      </c>
      <c r="B90" s="32" t="inlineStr">
        <is>
          <t>Not started</t>
        </is>
      </c>
      <c r="C90" s="32" t="inlineStr">
        <is>
          <t>Session 1</t>
        </is>
      </c>
      <c r="D90" s="32" t="inlineStr">
        <is>
          <t>Needs</t>
        </is>
      </c>
      <c r="E90" s="32" t="inlineStr">
        <is>
          <t>Each line</t>
        </is>
      </c>
      <c r="F90" s="32" t="inlineStr">
        <is>
          <t>Covered by</t>
        </is>
      </c>
      <c r="G90" s="32" t="inlineStr">
        <is>
          <t>Secondary</t>
        </is>
      </c>
      <c r="H90" s="32" t="inlineStr">
        <is>
          <t>Pick: parents, partner, roommate, employer, insurance, other (name it)</t>
        </is>
      </c>
      <c r="I90" s="32" t="inlineStr">
        <is>
          <t>Tracks who supports the client</t>
        </is>
      </c>
      <c r="J90" s="32" t="inlineStr">
        <is>
          <t>Shows behind each line's caret</t>
        </is>
      </c>
      <c r="K90" s="32" t="inlineStr">
        <is>
          <t>Client</t>
        </is>
      </c>
      <c r="L90" s="32" t="n"/>
      <c r="M90" s="32" t="inlineStr">
        <is>
          <t>All</t>
        </is>
      </c>
      <c r="N90" s="32" t="inlineStr">
        <is>
          <t>Medium</t>
        </is>
      </c>
      <c r="O90" s="32" t="n"/>
      <c r="P90" s="32" t="inlineStr">
        <is>
          <t>Now</t>
        </is>
      </c>
      <c r="Q90" s="32" t="n"/>
      <c r="S90" s="10" t="inlineStr">
        <is>
          <t>Spending › Budget</t>
        </is>
      </c>
      <c r="T90" s="10" t="inlineStr">
        <is>
          <t>choice</t>
        </is>
      </c>
      <c r="U90" s="10" t="inlineStr">
        <is>
          <t>parents, partner, roommate, employer, insurance, other (name it)</t>
        </is>
      </c>
      <c r="V90" s="33" t="inlineStr">
        <is>
          <t>6</t>
        </is>
      </c>
    </row>
    <row r="91">
      <c r="A91" s="32" t="inlineStr">
        <is>
          <t>F089</t>
        </is>
      </c>
      <c r="B91" s="32" t="inlineStr">
        <is>
          <t>Not started</t>
        </is>
      </c>
      <c r="C91" s="32" t="inlineStr">
        <is>
          <t>Session 1</t>
        </is>
      </c>
      <c r="D91" s="32" t="inlineStr">
        <is>
          <t>Needs</t>
        </is>
      </c>
      <c r="E91" s="32" t="inlineStr">
        <is>
          <t>Each line</t>
        </is>
      </c>
      <c r="F91" s="32" t="inlineStr">
        <is>
          <t>Amount they cover</t>
        </is>
      </c>
      <c r="G91" s="32" t="inlineStr">
        <is>
          <t>Secondary</t>
        </is>
      </c>
      <c r="H91" s="32" t="inlineStr">
        <is>
          <t>Amount or %</t>
        </is>
      </c>
      <c r="I91" s="32" t="inlineStr">
        <is>
          <t>Tracks how much someone else is supporting; total shown on Report</t>
        </is>
      </c>
      <c r="J91" s="32" t="inlineStr">
        <is>
          <t>Shows behind each line's caret</t>
        </is>
      </c>
      <c r="K91" s="32" t="inlineStr">
        <is>
          <t>Client</t>
        </is>
      </c>
      <c r="L91" s="32" t="n"/>
      <c r="M91" s="32" t="inlineStr">
        <is>
          <t>All</t>
        </is>
      </c>
      <c r="N91" s="32" t="inlineStr">
        <is>
          <t>Medium</t>
        </is>
      </c>
      <c r="O91" s="32" t="n"/>
      <c r="P91" s="32" t="inlineStr">
        <is>
          <t>Now</t>
        </is>
      </c>
      <c r="Q91" s="32" t="n"/>
      <c r="S91" s="10" t="inlineStr">
        <is>
          <t>Spending › Budget</t>
        </is>
      </c>
      <c r="T91" s="10" t="inlineStr">
        <is>
          <t>money</t>
        </is>
      </c>
      <c r="U91" s="10" t="inlineStr"/>
      <c r="V91" s="33" t="inlineStr">
        <is>
          <t>6</t>
        </is>
      </c>
    </row>
    <row r="92">
      <c r="A92" s="32" t="inlineStr">
        <is>
          <t>F090</t>
        </is>
      </c>
      <c r="B92" s="32" t="inlineStr">
        <is>
          <t>Not started</t>
        </is>
      </c>
      <c r="C92" s="32" t="inlineStr">
        <is>
          <t>Session 1</t>
        </is>
      </c>
      <c r="D92" s="32" t="inlineStr">
        <is>
          <t>Needs</t>
        </is>
      </c>
      <c r="E92" s="32" t="inlineStr">
        <is>
          <t>Each line</t>
        </is>
      </c>
      <c r="F92" s="32" t="inlineStr">
        <is>
          <t>Split by how many</t>
        </is>
      </c>
      <c r="G92" s="32" t="inlineStr">
        <is>
          <t>Secondary</t>
        </is>
      </c>
      <c r="H92" s="32" t="inlineStr">
        <is>
          <t>Stepper, defaults to roommate count</t>
        </is>
      </c>
      <c r="I92" s="32" t="inlineStr">
        <is>
          <t>Your comment: based on how many roommates</t>
        </is>
      </c>
      <c r="J92" s="32" t="inlineStr">
        <is>
          <t>Shows behind each line's caret</t>
        </is>
      </c>
      <c r="K92" s="32" t="inlineStr">
        <is>
          <t>Client</t>
        </is>
      </c>
      <c r="L92" s="32" t="n"/>
      <c r="M92" s="32" t="inlineStr">
        <is>
          <t>All</t>
        </is>
      </c>
      <c r="N92" s="32" t="inlineStr">
        <is>
          <t>Medium</t>
        </is>
      </c>
      <c r="O92" s="32" t="n"/>
      <c r="P92" s="32" t="inlineStr">
        <is>
          <t>Now</t>
        </is>
      </c>
      <c r="Q92" s="32" t="n"/>
      <c r="S92" s="10" t="inlineStr">
        <is>
          <t>Spending › Budget</t>
        </is>
      </c>
      <c r="T92" s="10" t="inlineStr">
        <is>
          <t>whole number</t>
        </is>
      </c>
      <c r="U92" s="10" t="inlineStr"/>
      <c r="V92" s="33" t="inlineStr">
        <is>
          <t>6</t>
        </is>
      </c>
    </row>
    <row r="93">
      <c r="A93" s="32" t="inlineStr">
        <is>
          <t>F091</t>
        </is>
      </c>
      <c r="B93" s="32" t="inlineStr">
        <is>
          <t>Not started</t>
        </is>
      </c>
      <c r="C93" s="32" t="inlineStr">
        <is>
          <t>Session 1</t>
        </is>
      </c>
      <c r="D93" s="32" t="inlineStr">
        <is>
          <t>Needs</t>
        </is>
      </c>
      <c r="E93" s="32" t="inlineStr">
        <is>
          <t>Each line</t>
        </is>
      </c>
      <c r="F93" s="32" t="inlineStr">
        <is>
          <t>Or just my share</t>
        </is>
      </c>
      <c r="G93" s="32" t="inlineStr">
        <is>
          <t>Secondary</t>
        </is>
      </c>
      <c r="H93" s="32" t="inlineStr">
        <is>
          <t>Amount</t>
        </is>
      </c>
      <c r="I93" s="32" t="inlineStr">
        <is>
          <t>Your comment: sometimes you just say here's what I pay</t>
        </is>
      </c>
      <c r="J93" s="32" t="inlineStr">
        <is>
          <t>Shows behind each line's caret</t>
        </is>
      </c>
      <c r="K93" s="32" t="inlineStr">
        <is>
          <t>Client</t>
        </is>
      </c>
      <c r="L93" s="32" t="n"/>
      <c r="M93" s="32" t="inlineStr">
        <is>
          <t>All</t>
        </is>
      </c>
      <c r="N93" s="32" t="inlineStr">
        <is>
          <t>Medium</t>
        </is>
      </c>
      <c r="O93" s="32" t="n"/>
      <c r="P93" s="32" t="inlineStr">
        <is>
          <t>Now</t>
        </is>
      </c>
      <c r="Q93" s="32" t="n"/>
      <c r="S93" s="10" t="inlineStr">
        <is>
          <t>Spending › Budget</t>
        </is>
      </c>
      <c r="T93" s="10" t="inlineStr">
        <is>
          <t>money</t>
        </is>
      </c>
      <c r="U93" s="10" t="inlineStr"/>
      <c r="V93" s="33" t="inlineStr">
        <is>
          <t>6</t>
        </is>
      </c>
    </row>
    <row r="94">
      <c r="A94" s="32" t="inlineStr">
        <is>
          <t>F092</t>
        </is>
      </c>
      <c r="B94" s="32" t="inlineStr">
        <is>
          <t>Not started</t>
        </is>
      </c>
      <c r="C94" s="32" t="inlineStr">
        <is>
          <t>Session 1</t>
        </is>
      </c>
      <c r="D94" s="32" t="inlineStr">
        <is>
          <t>Needs</t>
        </is>
      </c>
      <c r="E94" s="32" t="inlineStr">
        <is>
          <t>Each line</t>
        </is>
      </c>
      <c r="F94" s="32" t="inlineStr">
        <is>
          <t>Should have, don't yet</t>
        </is>
      </c>
      <c r="G94" s="32" t="inlineStr">
        <is>
          <t>Secondary</t>
        </is>
      </c>
      <c r="H94" s="32" t="inlineStr">
        <is>
          <t>Button</t>
        </is>
      </c>
      <c r="I94" s="32" t="inlineStr">
        <is>
          <t>Gap to fill (renters insurance, emergency fund); goes on the to-do list</t>
        </is>
      </c>
      <c r="J94" s="32" t="inlineStr">
        <is>
          <t>Shows behind each line's caret</t>
        </is>
      </c>
      <c r="K94" s="32" t="inlineStr">
        <is>
          <t>Client</t>
        </is>
      </c>
      <c r="L94" s="32" t="n"/>
      <c r="M94" s="32" t="inlineStr">
        <is>
          <t>All</t>
        </is>
      </c>
      <c r="N94" s="32" t="inlineStr">
        <is>
          <t>Medium</t>
        </is>
      </c>
      <c r="O94" s="32" t="n"/>
      <c r="P94" s="32" t="inlineStr">
        <is>
          <t>Now</t>
        </is>
      </c>
      <c r="Q94" s="32" t="n"/>
      <c r="S94" s="10" t="inlineStr">
        <is>
          <t>Spending › Budget</t>
        </is>
      </c>
      <c r="T94" s="10" t="inlineStr">
        <is>
          <t>text</t>
        </is>
      </c>
      <c r="U94" s="10" t="inlineStr"/>
      <c r="V94" s="33" t="inlineStr">
        <is>
          <t>6</t>
        </is>
      </c>
    </row>
    <row r="95">
      <c r="A95" s="32" t="inlineStr">
        <is>
          <t>F093</t>
        </is>
      </c>
      <c r="B95" s="32" t="inlineStr">
        <is>
          <t>Not started</t>
        </is>
      </c>
      <c r="C95" s="32" t="inlineStr">
        <is>
          <t>Session 2+</t>
        </is>
      </c>
      <c r="D95" s="32" t="inlineStr">
        <is>
          <t>Needs</t>
        </is>
      </c>
      <c r="E95" s="32" t="inlineStr">
        <is>
          <t>Each line</t>
        </is>
      </c>
      <c r="F95" s="32" t="inlineStr">
        <is>
          <t>Reimbursed amount</t>
        </is>
      </c>
      <c r="G95" s="32" t="inlineStr">
        <is>
          <t>Tertiary</t>
        </is>
      </c>
      <c r="H95" s="32" t="inlineStr">
        <is>
          <t>Amount</t>
        </is>
      </c>
      <c r="I95" s="32" t="inlineStr">
        <is>
          <t>Therapy, medical, work costs that come back</t>
        </is>
      </c>
      <c r="J95" s="32" t="inlineStr">
        <is>
          <t>Shows behind each line's caret</t>
        </is>
      </c>
      <c r="K95" s="32" t="inlineStr">
        <is>
          <t>Client</t>
        </is>
      </c>
      <c r="L95" s="32" t="n"/>
      <c r="M95" s="32" t="inlineStr">
        <is>
          <t>All</t>
        </is>
      </c>
      <c r="N95" s="32" t="inlineStr">
        <is>
          <t>Medium</t>
        </is>
      </c>
      <c r="O95" s="32" t="n"/>
      <c r="P95" s="32" t="inlineStr">
        <is>
          <t>Now</t>
        </is>
      </c>
      <c r="Q95" s="32" t="n"/>
      <c r="S95" s="10" t="inlineStr">
        <is>
          <t>Spending › Budget</t>
        </is>
      </c>
      <c r="T95" s="10" t="inlineStr">
        <is>
          <t>money</t>
        </is>
      </c>
      <c r="U95" s="10" t="inlineStr"/>
      <c r="V95" s="33" t="inlineStr">
        <is>
          <t>6</t>
        </is>
      </c>
    </row>
    <row r="96">
      <c r="A96" s="32" t="inlineStr">
        <is>
          <t>F094</t>
        </is>
      </c>
      <c r="B96" s="32" t="inlineStr">
        <is>
          <t>Not started</t>
        </is>
      </c>
      <c r="C96" s="32" t="inlineStr">
        <is>
          <t>Session 1</t>
        </is>
      </c>
      <c r="D96" s="32" t="inlineStr">
        <is>
          <t>Needs</t>
        </is>
      </c>
      <c r="E96" s="32" t="inlineStr">
        <is>
          <t>Support received</t>
        </is>
      </c>
      <c r="F96" s="32" t="inlineStr">
        <is>
          <t>Total support from others</t>
        </is>
      </c>
      <c r="G96" s="32" t="inlineStr">
        <is>
          <t>Secondary</t>
        </is>
      </c>
      <c r="H96" s="32" t="inlineStr">
        <is>
          <t>Computed</t>
        </is>
      </c>
      <c r="I96" s="32" t="inlineStr">
        <is>
          <t>How much of the budget others cover (parents, partner). Matters if it stops</t>
        </is>
      </c>
      <c r="J96" s="32" t="n"/>
      <c r="K96" s="32" t="inlineStr">
        <is>
          <t>Computed</t>
        </is>
      </c>
      <c r="L96" s="32" t="n"/>
      <c r="M96" s="32" t="inlineStr">
        <is>
          <t>Computed</t>
        </is>
      </c>
      <c r="N96" s="32" t="inlineStr">
        <is>
          <t>High</t>
        </is>
      </c>
      <c r="O96" s="32" t="n"/>
      <c r="P96" s="32" t="inlineStr">
        <is>
          <t>Now</t>
        </is>
      </c>
      <c r="Q96" s="32" t="n"/>
      <c r="S96" s="10" t="inlineStr">
        <is>
          <t>Spending › Budget</t>
        </is>
      </c>
      <c r="T96" s="10" t="inlineStr">
        <is>
          <t>computed</t>
        </is>
      </c>
      <c r="U96" s="10" t="inlineStr"/>
      <c r="V96" s="33" t="inlineStr">
        <is>
          <t>6</t>
        </is>
      </c>
    </row>
    <row r="97">
      <c r="A97" s="32" t="inlineStr">
        <is>
          <t>F095</t>
        </is>
      </c>
      <c r="B97" s="32" t="inlineStr">
        <is>
          <t>Not started</t>
        </is>
      </c>
      <c r="C97" s="32" t="inlineStr">
        <is>
          <t>Session 1</t>
        </is>
      </c>
      <c r="D97" s="32" t="inlineStr">
        <is>
          <t>Needs</t>
        </is>
      </c>
      <c r="E97" s="32" t="inlineStr">
        <is>
          <t>Car gate</t>
        </is>
      </c>
      <c r="F97" s="32" t="inlineStr">
        <is>
          <t>Has a car</t>
        </is>
      </c>
      <c r="G97" s="32" t="inlineStr">
        <is>
          <t>Primary</t>
        </is>
      </c>
      <c r="H97" s="32" t="inlineStr">
        <is>
          <t>Yes or no (from Profile or Assets)</t>
        </is>
      </c>
      <c r="I97" s="32" t="inlineStr">
        <is>
          <t>Car-only lines appear only with a car</t>
        </is>
      </c>
      <c r="J97" s="32" t="n"/>
      <c r="K97" s="32" t="inlineStr">
        <is>
          <t>Client</t>
        </is>
      </c>
      <c r="L97" s="32" t="n"/>
      <c r="M97" s="32" t="inlineStr">
        <is>
          <t>Know it</t>
        </is>
      </c>
      <c r="N97" s="32" t="inlineStr">
        <is>
          <t>High</t>
        </is>
      </c>
      <c r="O97" s="32" t="n"/>
      <c r="P97" s="32" t="inlineStr">
        <is>
          <t>Now</t>
        </is>
      </c>
      <c r="Q97" s="32" t="n"/>
      <c r="S97" s="10" t="inlineStr">
        <is>
          <t>Spending › Budget</t>
        </is>
      </c>
      <c r="T97" s="10" t="inlineStr">
        <is>
          <t>choice</t>
        </is>
      </c>
      <c r="U97" s="10" t="inlineStr">
        <is>
          <t>Yes, No, Not sure</t>
        </is>
      </c>
      <c r="V97" s="33" t="inlineStr">
        <is>
          <t>6</t>
        </is>
      </c>
    </row>
    <row r="98">
      <c r="A98" s="32" t="inlineStr">
        <is>
          <t>F096</t>
        </is>
      </c>
      <c r="B98" s="32" t="inlineStr">
        <is>
          <t>Not started</t>
        </is>
      </c>
      <c r="C98" s="32" t="inlineStr">
        <is>
          <t>Session 1</t>
        </is>
      </c>
      <c r="D98" s="32" t="inlineStr">
        <is>
          <t>Needs</t>
        </is>
      </c>
      <c r="E98" s="32" t="inlineStr">
        <is>
          <t>Pets gate</t>
        </is>
      </c>
      <c r="F98" s="32" t="inlineStr">
        <is>
          <t>Has pets (how many)</t>
        </is>
      </c>
      <c r="G98" s="32" t="inlineStr">
        <is>
          <t>Secondary</t>
        </is>
      </c>
      <c r="H98" s="32" t="inlineStr">
        <is>
          <t>Stepper</t>
        </is>
      </c>
      <c r="I98" s="32" t="inlineStr">
        <is>
          <t>Pet lines appear only with pets</t>
        </is>
      </c>
      <c r="J98" s="32" t="n"/>
      <c r="K98" s="32" t="inlineStr">
        <is>
          <t>Client</t>
        </is>
      </c>
      <c r="L98" s="32" t="n"/>
      <c r="M98" s="32" t="inlineStr">
        <is>
          <t>Know it</t>
        </is>
      </c>
      <c r="N98" s="32" t="inlineStr">
        <is>
          <t>Medium</t>
        </is>
      </c>
      <c r="O98" s="32" t="n"/>
      <c r="P98" s="32" t="inlineStr">
        <is>
          <t>Now</t>
        </is>
      </c>
      <c r="Q98" s="32" t="n"/>
      <c r="S98" s="10" t="inlineStr">
        <is>
          <t>Spending › Budget</t>
        </is>
      </c>
      <c r="T98" s="10" t="inlineStr">
        <is>
          <t>whole number</t>
        </is>
      </c>
      <c r="U98" s="10" t="inlineStr"/>
      <c r="V98" s="33" t="inlineStr">
        <is>
          <t>6</t>
        </is>
      </c>
    </row>
    <row r="99">
      <c r="A99" s="32" t="inlineStr">
        <is>
          <t>F097</t>
        </is>
      </c>
      <c r="B99" s="32" t="inlineStr">
        <is>
          <t>Not started</t>
        </is>
      </c>
      <c r="C99" s="32" t="inlineStr">
        <is>
          <t>Session 1</t>
        </is>
      </c>
      <c r="D99" s="32" t="inlineStr">
        <is>
          <t>Needs</t>
        </is>
      </c>
      <c r="E99" s="32" t="inlineStr">
        <is>
          <t>Each line</t>
        </is>
      </c>
      <c r="F99" s="32" t="inlineStr">
        <is>
          <t>Frequency</t>
        </is>
      </c>
      <c r="G99" s="32" t="inlineStr">
        <is>
          <t>Secondary</t>
        </is>
      </c>
      <c r="H99" s="32" t="inlineStr">
        <is>
          <t>Pick one: weekly, monthly, yearly, one-off</t>
        </is>
      </c>
      <c r="I99" s="32" t="inlineStr">
        <is>
          <t>Annual costs shown monthly</t>
        </is>
      </c>
      <c r="J99" s="32" t="n"/>
      <c r="K99" s="32" t="inlineStr">
        <is>
          <t>Client</t>
        </is>
      </c>
      <c r="L99" s="32" t="n"/>
      <c r="M99" s="32" t="inlineStr">
        <is>
          <t>All</t>
        </is>
      </c>
      <c r="N99" s="32" t="inlineStr">
        <is>
          <t>Medium</t>
        </is>
      </c>
      <c r="O99" s="32" t="n"/>
      <c r="P99" s="32" t="inlineStr">
        <is>
          <t>Now</t>
        </is>
      </c>
      <c r="Q99" s="32" t="n"/>
      <c r="S99" s="10" t="inlineStr">
        <is>
          <t>Spending › Budget</t>
        </is>
      </c>
      <c r="T99" s="10" t="inlineStr">
        <is>
          <t>choice</t>
        </is>
      </c>
      <c r="U99" s="10" t="inlineStr">
        <is>
          <t>weekly, monthly, yearly, one-off</t>
        </is>
      </c>
      <c r="V99" s="33" t="inlineStr">
        <is>
          <t>6</t>
        </is>
      </c>
    </row>
    <row r="100">
      <c r="A100" s="32" t="inlineStr">
        <is>
          <t>F098</t>
        </is>
      </c>
      <c r="B100" s="32" t="inlineStr">
        <is>
          <t>Not started</t>
        </is>
      </c>
      <c r="C100" s="32" t="inlineStr">
        <is>
          <t>Monthly</t>
        </is>
      </c>
      <c r="D100" s="32" t="inlineStr">
        <is>
          <t>Needs</t>
        </is>
      </c>
      <c r="E100" s="32" t="inlineStr">
        <is>
          <t>Each line</t>
        </is>
      </c>
      <c r="F100" s="32" t="inlineStr">
        <is>
          <t>Actual amount (from cash flow log)</t>
        </is>
      </c>
      <c r="G100" s="32" t="inlineStr">
        <is>
          <t>Secondary</t>
        </is>
      </c>
      <c r="H100" s="32" t="inlineStr">
        <is>
          <t>Computed with gaps added</t>
        </is>
      </c>
      <c r="I100" s="32" t="inlineStr">
        <is>
          <t>Estimated vs actual, biggest culprits</t>
        </is>
      </c>
      <c r="J100" s="32" t="n"/>
      <c r="K100" s="32" t="inlineStr">
        <is>
          <t>Computed</t>
        </is>
      </c>
      <c r="L100" s="32" t="n"/>
      <c r="M100" s="32" t="inlineStr">
        <is>
          <t>Computed</t>
        </is>
      </c>
      <c r="N100" s="32" t="inlineStr">
        <is>
          <t>High</t>
        </is>
      </c>
      <c r="O100" s="32" t="n"/>
      <c r="P100" s="32" t="inlineStr">
        <is>
          <t>Now</t>
        </is>
      </c>
      <c r="Q100" s="32" t="n"/>
      <c r="S100" s="10" t="inlineStr">
        <is>
          <t>Spending › Budget</t>
        </is>
      </c>
      <c r="T100" s="10" t="inlineStr">
        <is>
          <t>computed</t>
        </is>
      </c>
      <c r="U100" s="10" t="inlineStr"/>
      <c r="V100" s="33" t="inlineStr">
        <is>
          <t>6</t>
        </is>
      </c>
    </row>
    <row r="101">
      <c r="A101" s="32" t="inlineStr">
        <is>
          <t>F099</t>
        </is>
      </c>
      <c r="B101" s="32" t="inlineStr">
        <is>
          <t>Not started</t>
        </is>
      </c>
      <c r="C101" s="32" t="inlineStr">
        <is>
          <t>Session 2+</t>
        </is>
      </c>
      <c r="D101" s="32" t="inlineStr">
        <is>
          <t>Needs</t>
        </is>
      </c>
      <c r="E101" s="32" t="inlineStr">
        <is>
          <t>Each line</t>
        </is>
      </c>
      <c r="F101" s="32" t="inlineStr">
        <is>
          <t>Happiness rating</t>
        </is>
      </c>
      <c r="G101" s="32" t="inlineStr">
        <is>
          <t>Tertiary</t>
        </is>
      </c>
      <c r="H101" s="32" t="inlineStr">
        <is>
          <t>1 to 5 stars</t>
        </is>
      </c>
      <c r="I101" s="32" t="inlineStr">
        <is>
          <t>Joy per dollar, share of total joy</t>
        </is>
      </c>
      <c r="J101" s="32" t="n"/>
      <c r="K101" s="32" t="inlineStr">
        <is>
          <t>Client</t>
        </is>
      </c>
      <c r="L101" s="32" t="n"/>
      <c r="M101" s="32" t="inlineStr">
        <is>
          <t>All</t>
        </is>
      </c>
      <c r="N101" s="32" t="inlineStr">
        <is>
          <t>Medium</t>
        </is>
      </c>
      <c r="O101" s="32" t="n"/>
      <c r="P101" s="32" t="inlineStr">
        <is>
          <t>Now</t>
        </is>
      </c>
      <c r="Q101" s="32" t="n"/>
      <c r="S101" s="10" t="inlineStr">
        <is>
          <t>Spending › Budget</t>
        </is>
      </c>
      <c r="T101" s="10" t="inlineStr">
        <is>
          <t>text</t>
        </is>
      </c>
      <c r="U101" s="10" t="inlineStr"/>
      <c r="V101" s="33" t="inlineStr">
        <is>
          <t>6</t>
        </is>
      </c>
    </row>
    <row r="102">
      <c r="A102" s="32" t="inlineStr">
        <is>
          <t>F100</t>
        </is>
      </c>
      <c r="B102" s="32" t="inlineStr">
        <is>
          <t>Not started</t>
        </is>
      </c>
      <c r="C102" s="32" t="inlineStr">
        <is>
          <t>Later</t>
        </is>
      </c>
      <c r="D102" s="32" t="inlineStr">
        <is>
          <t>Needs</t>
        </is>
      </c>
      <c r="E102" s="32" t="inlineStr">
        <is>
          <t>Each line</t>
        </is>
      </c>
      <c r="F102" s="32" t="inlineStr">
        <is>
          <t>Need or want tag</t>
        </is>
      </c>
      <c r="G102" s="32" t="inlineStr">
        <is>
          <t>Tertiary</t>
        </is>
      </c>
      <c r="H102" s="32" t="inlineStr">
        <is>
          <t>Toggle</t>
        </is>
      </c>
      <c r="I102" s="32" t="inlineStr">
        <is>
          <t>Parked for a later pass (Oct 28)</t>
        </is>
      </c>
      <c r="J102" s="32" t="n"/>
      <c r="K102" s="32" t="inlineStr">
        <is>
          <t>Client</t>
        </is>
      </c>
      <c r="L102" s="32" t="n"/>
      <c r="M102" s="32" t="inlineStr">
        <is>
          <t>All</t>
        </is>
      </c>
      <c r="N102" s="32" t="inlineStr">
        <is>
          <t>Medium</t>
        </is>
      </c>
      <c r="O102" s="32" t="n"/>
      <c r="P102" s="32" t="inlineStr">
        <is>
          <t>Later</t>
        </is>
      </c>
      <c r="Q102" s="32" t="n"/>
      <c r="S102" s="10" t="inlineStr">
        <is>
          <t>Spending › Budget</t>
        </is>
      </c>
      <c r="T102" s="10" t="inlineStr">
        <is>
          <t>choice</t>
        </is>
      </c>
      <c r="U102" s="10" t="inlineStr"/>
      <c r="V102" s="33" t="inlineStr">
        <is>
          <t>6</t>
        </is>
      </c>
    </row>
    <row r="103">
      <c r="A103" s="32" t="inlineStr">
        <is>
          <t>F101</t>
        </is>
      </c>
      <c r="B103" s="32" t="inlineStr">
        <is>
          <t>Not started</t>
        </is>
      </c>
      <c r="C103" s="32" t="inlineStr">
        <is>
          <t>Later</t>
        </is>
      </c>
      <c r="D103" s="32" t="inlineStr">
        <is>
          <t>Needs</t>
        </is>
      </c>
      <c r="E103" s="32" t="inlineStr">
        <is>
          <t>Each line</t>
        </is>
      </c>
      <c r="F103" s="32" t="inlineStr">
        <is>
          <t>Unavoidable or mistake tag</t>
        </is>
      </c>
      <c r="G103" s="32" t="inlineStr">
        <is>
          <t>Tertiary</t>
        </is>
      </c>
      <c r="H103" s="32" t="inlineStr">
        <is>
          <t>Toggle</t>
        </is>
      </c>
      <c r="I103" s="32" t="inlineStr">
        <is>
          <t>Shows what mistakes cost and whether they repeat</t>
        </is>
      </c>
      <c r="J103" s="32" t="n"/>
      <c r="K103" s="32" t="inlineStr">
        <is>
          <t>Client</t>
        </is>
      </c>
      <c r="L103" s="32" t="n"/>
      <c r="M103" s="32" t="inlineStr">
        <is>
          <t>All</t>
        </is>
      </c>
      <c r="N103" s="32" t="inlineStr">
        <is>
          <t>Low</t>
        </is>
      </c>
      <c r="O103" s="32" t="n"/>
      <c r="P103" s="32" t="inlineStr">
        <is>
          <t>Later</t>
        </is>
      </c>
      <c r="Q103" s="32" t="n"/>
      <c r="S103" s="10" t="inlineStr">
        <is>
          <t>Spending › Budget</t>
        </is>
      </c>
      <c r="T103" s="10" t="inlineStr">
        <is>
          <t>choice</t>
        </is>
      </c>
      <c r="U103" s="10" t="inlineStr"/>
      <c r="V103" s="33" t="inlineStr">
        <is>
          <t>6</t>
        </is>
      </c>
    </row>
    <row r="104">
      <c r="A104" s="32" t="inlineStr">
        <is>
          <t>F102</t>
        </is>
      </c>
      <c r="B104" s="32" t="inlineStr">
        <is>
          <t>Not started</t>
        </is>
      </c>
      <c r="C104" s="32" t="inlineStr">
        <is>
          <t>Later</t>
        </is>
      </c>
      <c r="D104" s="32" t="inlineStr">
        <is>
          <t>Needs</t>
        </is>
      </c>
      <c r="E104" s="32" t="inlineStr">
        <is>
          <t>Each line</t>
        </is>
      </c>
      <c r="F104" s="32" t="inlineStr">
        <is>
          <t>Whose value is this</t>
        </is>
      </c>
      <c r="G104" s="32" t="inlineStr">
        <is>
          <t>Tertiary</t>
        </is>
      </c>
      <c r="H104" s="32" t="inlineStr">
        <is>
          <t>Tag: me, partner, family, other</t>
        </is>
      </c>
      <c r="I104" s="32" t="inlineStr">
        <is>
          <t>What Matters priorities</t>
        </is>
      </c>
      <c r="J104" s="32" t="n"/>
      <c r="K104" s="32" t="inlineStr">
        <is>
          <t>Client</t>
        </is>
      </c>
      <c r="L104" s="32" t="n"/>
      <c r="M104" s="32" t="inlineStr">
        <is>
          <t>All</t>
        </is>
      </c>
      <c r="N104" s="32" t="inlineStr">
        <is>
          <t>Low</t>
        </is>
      </c>
      <c r="O104" s="32" t="n"/>
      <c r="P104" s="32" t="inlineStr">
        <is>
          <t>Later</t>
        </is>
      </c>
      <c r="Q104" s="32" t="n"/>
      <c r="S104" s="10" t="inlineStr">
        <is>
          <t>Spending › Budget</t>
        </is>
      </c>
      <c r="T104" s="10" t="inlineStr">
        <is>
          <t>choice</t>
        </is>
      </c>
      <c r="U104" s="10" t="inlineStr">
        <is>
          <t>me, partner, family, other</t>
        </is>
      </c>
      <c r="V104" s="33" t="inlineStr">
        <is>
          <t>6</t>
        </is>
      </c>
    </row>
    <row r="105">
      <c r="A105" s="32" t="inlineStr">
        <is>
          <t>F103</t>
        </is>
      </c>
      <c r="B105" s="32" t="inlineStr">
        <is>
          <t>Not started</t>
        </is>
      </c>
      <c r="C105" s="32" t="inlineStr">
        <is>
          <t>Later</t>
        </is>
      </c>
      <c r="D105" s="32" t="inlineStr">
        <is>
          <t>Needs</t>
        </is>
      </c>
      <c r="E105" s="32" t="inlineStr">
        <is>
          <t>Each line</t>
        </is>
      </c>
      <c r="F105" s="32" t="inlineStr">
        <is>
          <t>Priority it serves</t>
        </is>
      </c>
      <c r="G105" s="32" t="inlineStr">
        <is>
          <t>Tertiary</t>
        </is>
      </c>
      <c r="H105" s="32" t="inlineStr">
        <is>
          <t>Pick from What Matters list</t>
        </is>
      </c>
      <c r="I105" s="32" t="inlineStr">
        <is>
          <t>Spending vs priorities section on one-pager</t>
        </is>
      </c>
      <c r="J105" s="32" t="n"/>
      <c r="K105" s="32" t="inlineStr">
        <is>
          <t>Client</t>
        </is>
      </c>
      <c r="L105" s="32" t="n"/>
      <c r="M105" s="32" t="inlineStr">
        <is>
          <t>All</t>
        </is>
      </c>
      <c r="N105" s="32" t="inlineStr">
        <is>
          <t>Medium</t>
        </is>
      </c>
      <c r="O105" s="32" t="n"/>
      <c r="P105" s="32" t="inlineStr">
        <is>
          <t>Later</t>
        </is>
      </c>
      <c r="Q105" s="32" t="n"/>
      <c r="S105" s="10" t="inlineStr">
        <is>
          <t>Spending › Budget</t>
        </is>
      </c>
      <c r="T105" s="10" t="inlineStr">
        <is>
          <t>choice</t>
        </is>
      </c>
      <c r="U105" s="10" t="inlineStr"/>
      <c r="V105" s="33" t="inlineStr">
        <is>
          <t>6</t>
        </is>
      </c>
    </row>
    <row r="106">
      <c r="A106" s="32" t="inlineStr">
        <is>
          <t>F104</t>
        </is>
      </c>
      <c r="B106" s="32" t="inlineStr">
        <is>
          <t>Not started</t>
        </is>
      </c>
      <c r="C106" s="32" t="inlineStr">
        <is>
          <t>Session 1</t>
        </is>
      </c>
      <c r="D106" s="32" t="inlineStr">
        <is>
          <t>Debt</t>
        </is>
      </c>
      <c r="E106" s="32" t="inlineStr">
        <is>
          <t>Credit cards</t>
        </is>
      </c>
      <c r="F106" s="32" t="inlineStr">
        <is>
          <t>Name or lender</t>
        </is>
      </c>
      <c r="G106" s="32" t="inlineStr">
        <is>
          <t>Primary</t>
        </is>
      </c>
      <c r="H106" s="32" t="inlineStr">
        <is>
          <t>Text box</t>
        </is>
      </c>
      <c r="I106" s="32" t="inlineStr">
        <is>
          <t>Labels the row</t>
        </is>
      </c>
      <c r="J106" s="32" t="inlineStr">
        <is>
          <t>Add, duplicate, mark rough, not now</t>
        </is>
      </c>
      <c r="K106" s="32" t="inlineStr">
        <is>
          <t>Client</t>
        </is>
      </c>
      <c r="L106" s="32" t="n"/>
      <c r="M106" s="32" t="inlineStr">
        <is>
          <t>All</t>
        </is>
      </c>
      <c r="N106" s="32" t="inlineStr">
        <is>
          <t>Low</t>
        </is>
      </c>
      <c r="O106" s="32" t="inlineStr">
        <is>
          <t>Yes</t>
        </is>
      </c>
      <c r="P106" s="32" t="inlineStr">
        <is>
          <t>Now</t>
        </is>
      </c>
      <c r="Q106" s="32" t="n"/>
      <c r="S106" s="10" t="inlineStr">
        <is>
          <t>My Money › Debt</t>
        </is>
      </c>
      <c r="T106" s="10" t="inlineStr">
        <is>
          <t>text</t>
        </is>
      </c>
      <c r="U106" s="10" t="inlineStr"/>
      <c r="V106" s="33" t="inlineStr">
        <is>
          <t>5</t>
        </is>
      </c>
    </row>
    <row r="107">
      <c r="A107" s="32" t="inlineStr">
        <is>
          <t>F105</t>
        </is>
      </c>
      <c r="B107" s="32" t="inlineStr">
        <is>
          <t>Not started</t>
        </is>
      </c>
      <c r="C107" s="32" t="inlineStr">
        <is>
          <t>Session 1</t>
        </is>
      </c>
      <c r="D107" s="32" t="inlineStr">
        <is>
          <t>Debt</t>
        </is>
      </c>
      <c r="E107" s="32" t="inlineStr">
        <is>
          <t>Credit cards</t>
        </is>
      </c>
      <c r="F107" s="32" t="inlineStr">
        <is>
          <t>Balance</t>
        </is>
      </c>
      <c r="G107" s="32" t="inlineStr">
        <is>
          <t>Primary</t>
        </is>
      </c>
      <c r="H107" s="32" t="inlineStr">
        <is>
          <t>Amount</t>
        </is>
      </c>
      <c r="I107" s="32" t="inlineStr">
        <is>
          <t>Net worth, payoff, debt total</t>
        </is>
      </c>
      <c r="J107" s="32" t="inlineStr">
        <is>
          <t>Add, duplicate, mark rough, not now</t>
        </is>
      </c>
      <c r="K107" s="32" t="inlineStr">
        <is>
          <t>Client</t>
        </is>
      </c>
      <c r="L107" s="32" t="n"/>
      <c r="M107" s="32" t="inlineStr">
        <is>
          <t>All</t>
        </is>
      </c>
      <c r="N107" s="32" t="inlineStr">
        <is>
          <t>High</t>
        </is>
      </c>
      <c r="O107" s="32" t="inlineStr">
        <is>
          <t>Yes</t>
        </is>
      </c>
      <c r="P107" s="32" t="inlineStr">
        <is>
          <t>Now</t>
        </is>
      </c>
      <c r="Q107" s="32" t="inlineStr">
        <is>
          <t>Your sheet row 8. 3 boxes first (name, balance, APR), caret for the rest</t>
        </is>
      </c>
      <c r="S107" s="10" t="inlineStr">
        <is>
          <t>My Money › Debt</t>
        </is>
      </c>
      <c r="T107" s="10" t="inlineStr">
        <is>
          <t>money</t>
        </is>
      </c>
      <c r="U107" s="10" t="inlineStr"/>
      <c r="V107" s="33" t="inlineStr">
        <is>
          <t>5</t>
        </is>
      </c>
    </row>
    <row r="108">
      <c r="A108" s="32" t="inlineStr">
        <is>
          <t>F106</t>
        </is>
      </c>
      <c r="B108" s="32" t="inlineStr">
        <is>
          <t>Not started</t>
        </is>
      </c>
      <c r="C108" s="32" t="inlineStr">
        <is>
          <t>Session 1</t>
        </is>
      </c>
      <c r="D108" s="32" t="inlineStr">
        <is>
          <t>Debt</t>
        </is>
      </c>
      <c r="E108" s="32" t="inlineStr">
        <is>
          <t>Credit cards</t>
        </is>
      </c>
      <c r="F108" s="32" t="inlineStr">
        <is>
          <t>Interest rate (APR)</t>
        </is>
      </c>
      <c r="G108" s="32" t="inlineStr">
        <is>
          <t>Primary</t>
        </is>
      </c>
      <c r="H108" s="32" t="inlineStr">
        <is>
          <t>Percent with 'not sure' (fills typical rate, marked Rough)</t>
        </is>
      </c>
      <c r="I108" s="32" t="inlineStr">
        <is>
          <t>Payoff order, total interest</t>
        </is>
      </c>
      <c r="J108" s="32" t="inlineStr">
        <is>
          <t>Add, duplicate, mark rough, not now</t>
        </is>
      </c>
      <c r="K108" s="32" t="inlineStr">
        <is>
          <t>Client</t>
        </is>
      </c>
      <c r="L108" s="32" t="n"/>
      <c r="M108" s="32" t="inlineStr">
        <is>
          <t>All</t>
        </is>
      </c>
      <c r="N108" s="32" t="inlineStr">
        <is>
          <t>High</t>
        </is>
      </c>
      <c r="O108" s="32" t="inlineStr">
        <is>
          <t>Yes</t>
        </is>
      </c>
      <c r="P108" s="32" t="inlineStr">
        <is>
          <t>Now</t>
        </is>
      </c>
      <c r="Q108" s="32" t="n"/>
      <c r="S108" s="10" t="inlineStr">
        <is>
          <t>My Money › Debt</t>
        </is>
      </c>
      <c r="T108" s="10" t="inlineStr">
        <is>
          <t>percent</t>
        </is>
      </c>
      <c r="U108" s="10" t="inlineStr"/>
      <c r="V108" s="33" t="inlineStr">
        <is>
          <t>5</t>
        </is>
      </c>
    </row>
    <row r="109">
      <c r="A109" s="32" t="inlineStr">
        <is>
          <t>F107</t>
        </is>
      </c>
      <c r="B109" s="32" t="inlineStr">
        <is>
          <t>Not started</t>
        </is>
      </c>
      <c r="C109" s="32" t="inlineStr">
        <is>
          <t>Session 1</t>
        </is>
      </c>
      <c r="D109" s="32" t="inlineStr">
        <is>
          <t>Debt</t>
        </is>
      </c>
      <c r="E109" s="32" t="inlineStr">
        <is>
          <t>Credit cards</t>
        </is>
      </c>
      <c r="F109" s="32" t="inlineStr">
        <is>
          <t>Monthly payment</t>
        </is>
      </c>
      <c r="G109" s="32" t="inlineStr">
        <is>
          <t>Primary</t>
        </is>
      </c>
      <c r="H109" s="32" t="inlineStr">
        <is>
          <t>Amount</t>
        </is>
      </c>
      <c r="I109" s="32" t="inlineStr">
        <is>
          <t>Cash flow, payoff date</t>
        </is>
      </c>
      <c r="J109" s="32" t="inlineStr">
        <is>
          <t>Add, duplicate, mark rough, not now</t>
        </is>
      </c>
      <c r="K109" s="32" t="inlineStr">
        <is>
          <t>Client</t>
        </is>
      </c>
      <c r="L109" s="32" t="n"/>
      <c r="M109" s="32" t="inlineStr">
        <is>
          <t>All</t>
        </is>
      </c>
      <c r="N109" s="32" t="inlineStr">
        <is>
          <t>High</t>
        </is>
      </c>
      <c r="O109" s="32" t="inlineStr">
        <is>
          <t>Yes</t>
        </is>
      </c>
      <c r="P109" s="32" t="inlineStr">
        <is>
          <t>Now</t>
        </is>
      </c>
      <c r="Q109" s="32" t="n"/>
      <c r="S109" s="10" t="inlineStr">
        <is>
          <t>My Money › Debt</t>
        </is>
      </c>
      <c r="T109" s="10" t="inlineStr">
        <is>
          <t>money</t>
        </is>
      </c>
      <c r="U109" s="10" t="inlineStr"/>
      <c r="V109" s="33" t="inlineStr">
        <is>
          <t>5</t>
        </is>
      </c>
    </row>
    <row r="110">
      <c r="A110" s="32" t="inlineStr">
        <is>
          <t>F108</t>
        </is>
      </c>
      <c r="B110" s="32" t="inlineStr">
        <is>
          <t>Not started</t>
        </is>
      </c>
      <c r="C110" s="32" t="inlineStr">
        <is>
          <t>Session 1</t>
        </is>
      </c>
      <c r="D110" s="32" t="inlineStr">
        <is>
          <t>Debt</t>
        </is>
      </c>
      <c r="E110" s="32" t="inlineStr">
        <is>
          <t>Credit cards</t>
        </is>
      </c>
      <c r="F110" s="32" t="inlineStr">
        <is>
          <t>Minimum payment</t>
        </is>
      </c>
      <c r="G110" s="32" t="inlineStr">
        <is>
          <t>Secondary</t>
        </is>
      </c>
      <c r="H110" s="32" t="inlineStr">
        <is>
          <t>Amount</t>
        </is>
      </c>
      <c r="I110" s="32" t="inlineStr">
        <is>
          <t>Minimum vs actual payment</t>
        </is>
      </c>
      <c r="J110" s="32" t="n"/>
      <c r="K110" s="32" t="inlineStr">
        <is>
          <t>Client</t>
        </is>
      </c>
      <c r="L110" s="32" t="inlineStr">
        <is>
          <t>Often</t>
        </is>
      </c>
      <c r="M110" s="32" t="inlineStr">
        <is>
          <t>All</t>
        </is>
      </c>
      <c r="N110" s="32" t="inlineStr">
        <is>
          <t>Medium</t>
        </is>
      </c>
      <c r="O110" s="32" t="inlineStr">
        <is>
          <t>Yes</t>
        </is>
      </c>
      <c r="P110" s="32" t="inlineStr">
        <is>
          <t>Now</t>
        </is>
      </c>
      <c r="Q110" s="32" t="n"/>
      <c r="S110" s="10" t="inlineStr">
        <is>
          <t>My Money › Debt</t>
        </is>
      </c>
      <c r="T110" s="10" t="inlineStr">
        <is>
          <t>money</t>
        </is>
      </c>
      <c r="U110" s="10" t="inlineStr"/>
      <c r="V110" s="33" t="inlineStr">
        <is>
          <t>5</t>
        </is>
      </c>
    </row>
    <row r="111">
      <c r="A111" s="32" t="inlineStr">
        <is>
          <t>F109</t>
        </is>
      </c>
      <c r="B111" s="32" t="inlineStr">
        <is>
          <t>Not started</t>
        </is>
      </c>
      <c r="C111" s="32" t="inlineStr">
        <is>
          <t>Session 1</t>
        </is>
      </c>
      <c r="D111" s="32" t="inlineStr">
        <is>
          <t>Debt</t>
        </is>
      </c>
      <c r="E111" s="32" t="inlineStr">
        <is>
          <t>Credit cards</t>
        </is>
      </c>
      <c r="F111" s="32" t="inlineStr">
        <is>
          <t>0% promo rate and end date</t>
        </is>
      </c>
      <c r="G111" s="32" t="inlineStr">
        <is>
          <t>Secondary</t>
        </is>
      </c>
      <c r="H111" s="32" t="inlineStr">
        <is>
          <t>Percent plus date</t>
        </is>
      </c>
      <c r="I111" s="32" t="inlineStr">
        <is>
          <t>Promo cliff warning</t>
        </is>
      </c>
      <c r="J111" s="32" t="n"/>
      <c r="K111" s="32" t="inlineStr">
        <is>
          <t>Client</t>
        </is>
      </c>
      <c r="L111" s="32" t="inlineStr">
        <is>
          <t>Often</t>
        </is>
      </c>
      <c r="M111" s="32" t="inlineStr">
        <is>
          <t>All</t>
        </is>
      </c>
      <c r="N111" s="32" t="inlineStr">
        <is>
          <t>High</t>
        </is>
      </c>
      <c r="O111" s="32" t="inlineStr">
        <is>
          <t>Yes</t>
        </is>
      </c>
      <c r="P111" s="32" t="inlineStr">
        <is>
          <t>Now</t>
        </is>
      </c>
      <c r="Q111" s="32" t="n"/>
      <c r="S111" s="10" t="inlineStr">
        <is>
          <t>My Money › Debt</t>
        </is>
      </c>
      <c r="T111" s="10" t="inlineStr">
        <is>
          <t>percent</t>
        </is>
      </c>
      <c r="U111" s="10" t="inlineStr"/>
      <c r="V111" s="33" t="inlineStr">
        <is>
          <t>5</t>
        </is>
      </c>
    </row>
    <row r="112">
      <c r="A112" s="32" t="inlineStr">
        <is>
          <t>F110</t>
        </is>
      </c>
      <c r="B112" s="32" t="inlineStr">
        <is>
          <t>Not started</t>
        </is>
      </c>
      <c r="C112" s="32" t="inlineStr">
        <is>
          <t>Session 1</t>
        </is>
      </c>
      <c r="D112" s="32" t="inlineStr">
        <is>
          <t>Debt</t>
        </is>
      </c>
      <c r="E112" s="32" t="inlineStr">
        <is>
          <t>Credit cards</t>
        </is>
      </c>
      <c r="F112" s="32" t="inlineStr">
        <is>
          <t>Payment due date</t>
        </is>
      </c>
      <c r="G112" s="32" t="inlineStr">
        <is>
          <t>Secondary</t>
        </is>
      </c>
      <c r="H112" s="32" t="inlineStr">
        <is>
          <t>Day of month</t>
        </is>
      </c>
      <c r="I112" s="32" t="inlineStr">
        <is>
          <t>Cash flow calendar</t>
        </is>
      </c>
      <c r="J112" s="32" t="n"/>
      <c r="K112" s="32" t="inlineStr">
        <is>
          <t>Client</t>
        </is>
      </c>
      <c r="L112" s="32" t="inlineStr">
        <is>
          <t>Often</t>
        </is>
      </c>
      <c r="M112" s="32" t="inlineStr">
        <is>
          <t>All</t>
        </is>
      </c>
      <c r="N112" s="32" t="inlineStr">
        <is>
          <t>Medium</t>
        </is>
      </c>
      <c r="O112" s="32" t="inlineStr">
        <is>
          <t>Yes</t>
        </is>
      </c>
      <c r="P112" s="32" t="inlineStr">
        <is>
          <t>Now</t>
        </is>
      </c>
      <c r="Q112" s="32" t="n"/>
      <c r="S112" s="10" t="inlineStr">
        <is>
          <t>My Money › Debt</t>
        </is>
      </c>
      <c r="T112" s="10" t="inlineStr">
        <is>
          <t>text</t>
        </is>
      </c>
      <c r="U112" s="10" t="inlineStr"/>
      <c r="V112" s="33" t="inlineStr">
        <is>
          <t>5</t>
        </is>
      </c>
    </row>
    <row r="113">
      <c r="A113" s="32" t="inlineStr">
        <is>
          <t>F111</t>
        </is>
      </c>
      <c r="B113" s="32" t="inlineStr">
        <is>
          <t>Not started</t>
        </is>
      </c>
      <c r="C113" s="32" t="inlineStr">
        <is>
          <t>Session 1</t>
        </is>
      </c>
      <c r="D113" s="32" t="inlineStr">
        <is>
          <t>Debt</t>
        </is>
      </c>
      <c r="E113" s="32" t="inlineStr">
        <is>
          <t>Credit cards</t>
        </is>
      </c>
      <c r="F113" s="32" t="inlineStr">
        <is>
          <t>Credit limit</t>
        </is>
      </c>
      <c r="G113" s="32" t="inlineStr">
        <is>
          <t>Secondary</t>
        </is>
      </c>
      <c r="H113" s="32" t="inlineStr">
        <is>
          <t>Amount</t>
        </is>
      </c>
      <c r="I113" s="32" t="inlineStr">
        <is>
          <t>Utilization metric</t>
        </is>
      </c>
      <c r="J113" s="32" t="n"/>
      <c r="K113" s="32" t="inlineStr">
        <is>
          <t>Client</t>
        </is>
      </c>
      <c r="L113" s="32" t="inlineStr">
        <is>
          <t>Often</t>
        </is>
      </c>
      <c r="M113" s="32" t="inlineStr">
        <is>
          <t>All</t>
        </is>
      </c>
      <c r="N113" s="32" t="inlineStr">
        <is>
          <t>Medium</t>
        </is>
      </c>
      <c r="O113" s="32" t="inlineStr">
        <is>
          <t>Yes</t>
        </is>
      </c>
      <c r="P113" s="32" t="inlineStr">
        <is>
          <t>Now</t>
        </is>
      </c>
      <c r="Q113" s="32" t="n"/>
      <c r="S113" s="10" t="inlineStr">
        <is>
          <t>My Money › Debt</t>
        </is>
      </c>
      <c r="T113" s="10" t="inlineStr">
        <is>
          <t>money</t>
        </is>
      </c>
      <c r="U113" s="10" t="inlineStr"/>
      <c r="V113" s="33" t="inlineStr">
        <is>
          <t>5</t>
        </is>
      </c>
    </row>
    <row r="114">
      <c r="A114" s="32" t="inlineStr">
        <is>
          <t>F112</t>
        </is>
      </c>
      <c r="B114" s="32" t="inlineStr">
        <is>
          <t>Not started</t>
        </is>
      </c>
      <c r="C114" s="32" t="inlineStr">
        <is>
          <t>Session 1</t>
        </is>
      </c>
      <c r="D114" s="32" t="inlineStr">
        <is>
          <t>Debt</t>
        </is>
      </c>
      <c r="E114" s="32" t="inlineStr">
        <is>
          <t>Credit cards</t>
        </is>
      </c>
      <c r="F114" s="32" t="inlineStr">
        <is>
          <t>Personal or business</t>
        </is>
      </c>
      <c r="G114" s="32" t="inlineStr">
        <is>
          <t>Secondary</t>
        </is>
      </c>
      <c r="H114" s="32" t="inlineStr">
        <is>
          <t>Toggle</t>
        </is>
      </c>
      <c r="I114" s="32" t="inlineStr">
        <is>
          <t>Separate by business</t>
        </is>
      </c>
      <c r="J114" s="32" t="n"/>
      <c r="K114" s="32" t="inlineStr">
        <is>
          <t>Client</t>
        </is>
      </c>
      <c r="L114" s="32" t="inlineStr">
        <is>
          <t>Often</t>
        </is>
      </c>
      <c r="M114" s="32" t="inlineStr">
        <is>
          <t>All</t>
        </is>
      </c>
      <c r="N114" s="32" t="inlineStr">
        <is>
          <t>Medium</t>
        </is>
      </c>
      <c r="O114" s="32" t="inlineStr">
        <is>
          <t>Yes</t>
        </is>
      </c>
      <c r="P114" s="32" t="inlineStr">
        <is>
          <t>Now</t>
        </is>
      </c>
      <c r="Q114" s="32" t="n"/>
      <c r="S114" s="10" t="inlineStr">
        <is>
          <t>My Money › Debt</t>
        </is>
      </c>
      <c r="T114" s="10" t="inlineStr">
        <is>
          <t>choice</t>
        </is>
      </c>
      <c r="U114" s="10" t="inlineStr"/>
      <c r="V114" s="33" t="inlineStr">
        <is>
          <t>5</t>
        </is>
      </c>
    </row>
    <row r="115">
      <c r="A115" s="32" t="inlineStr">
        <is>
          <t>F113</t>
        </is>
      </c>
      <c r="B115" s="32" t="inlineStr">
        <is>
          <t>Not started</t>
        </is>
      </c>
      <c r="C115" s="32" t="inlineStr">
        <is>
          <t>Session 1</t>
        </is>
      </c>
      <c r="D115" s="32" t="inlineStr">
        <is>
          <t>Debt</t>
        </is>
      </c>
      <c r="E115" s="32" t="inlineStr">
        <is>
          <t>Credit cards</t>
        </is>
      </c>
      <c r="F115" s="32" t="inlineStr">
        <is>
          <t>Sign-up bonus (amount, spend needed, by when)</t>
        </is>
      </c>
      <c r="G115" s="32" t="inlineStr">
        <is>
          <t>Secondary</t>
        </is>
      </c>
      <c r="H115" s="32" t="inlineStr">
        <is>
          <t>Three boxes</t>
        </is>
      </c>
      <c r="I115" s="32" t="inlineStr">
        <is>
          <t>Bonus tracking, quick wins</t>
        </is>
      </c>
      <c r="J115" s="32" t="n"/>
      <c r="K115" s="32" t="inlineStr">
        <is>
          <t>Client</t>
        </is>
      </c>
      <c r="L115" s="32" t="inlineStr">
        <is>
          <t>Often</t>
        </is>
      </c>
      <c r="M115" s="32" t="inlineStr">
        <is>
          <t>All</t>
        </is>
      </c>
      <c r="N115" s="32" t="inlineStr">
        <is>
          <t>Low</t>
        </is>
      </c>
      <c r="O115" s="32" t="inlineStr">
        <is>
          <t>Yes</t>
        </is>
      </c>
      <c r="P115" s="32" t="inlineStr">
        <is>
          <t>Now</t>
        </is>
      </c>
      <c r="Q115" s="32" t="n"/>
      <c r="S115" s="10" t="inlineStr">
        <is>
          <t>My Money › Debt</t>
        </is>
      </c>
      <c r="T115" s="10" t="inlineStr">
        <is>
          <t>text</t>
        </is>
      </c>
      <c r="U115" s="10" t="inlineStr"/>
      <c r="V115" s="33" t="inlineStr">
        <is>
          <t>5</t>
        </is>
      </c>
    </row>
    <row r="116">
      <c r="A116" s="32" t="inlineStr">
        <is>
          <t>F114</t>
        </is>
      </c>
      <c r="B116" s="32" t="inlineStr">
        <is>
          <t>Not started</t>
        </is>
      </c>
      <c r="C116" s="32" t="inlineStr">
        <is>
          <t>Session 2+</t>
        </is>
      </c>
      <c r="D116" s="32" t="inlineStr">
        <is>
          <t>Debt</t>
        </is>
      </c>
      <c r="E116" s="32" t="inlineStr">
        <is>
          <t>Credit cards</t>
        </is>
      </c>
      <c r="F116" s="32" t="inlineStr">
        <is>
          <t>Card age (opened date)</t>
        </is>
      </c>
      <c r="G116" s="32" t="inlineStr">
        <is>
          <t>Tertiary</t>
        </is>
      </c>
      <c r="H116" s="32" t="inlineStr">
        <is>
          <t>Month picker</t>
        </is>
      </c>
      <c r="I116" s="32" t="inlineStr">
        <is>
          <t>Credit score factors</t>
        </is>
      </c>
      <c r="J116" s="32" t="n"/>
      <c r="K116" s="32" t="inlineStr">
        <is>
          <t>Client</t>
        </is>
      </c>
      <c r="L116" s="32" t="inlineStr">
        <is>
          <t>Sometimes</t>
        </is>
      </c>
      <c r="M116" s="32" t="inlineStr">
        <is>
          <t>All</t>
        </is>
      </c>
      <c r="N116" s="32" t="inlineStr">
        <is>
          <t>Low</t>
        </is>
      </c>
      <c r="O116" s="32" t="inlineStr">
        <is>
          <t>Yes</t>
        </is>
      </c>
      <c r="P116" s="32" t="inlineStr">
        <is>
          <t>Now</t>
        </is>
      </c>
      <c r="Q116" s="32" t="n"/>
      <c r="S116" s="10" t="inlineStr">
        <is>
          <t>My Money › Debt</t>
        </is>
      </c>
      <c r="T116" s="10" t="inlineStr">
        <is>
          <t>date</t>
        </is>
      </c>
      <c r="U116" s="10" t="inlineStr"/>
      <c r="V116" s="33" t="inlineStr">
        <is>
          <t>5</t>
        </is>
      </c>
    </row>
    <row r="117">
      <c r="A117" s="32" t="inlineStr">
        <is>
          <t>F115</t>
        </is>
      </c>
      <c r="B117" s="32" t="inlineStr">
        <is>
          <t>Not started</t>
        </is>
      </c>
      <c r="C117" s="32" t="inlineStr">
        <is>
          <t>Session 2+</t>
        </is>
      </c>
      <c r="D117" s="32" t="inlineStr">
        <is>
          <t>Debt</t>
        </is>
      </c>
      <c r="E117" s="32" t="inlineStr">
        <is>
          <t>Credit cards</t>
        </is>
      </c>
      <c r="F117" s="32" t="inlineStr">
        <is>
          <t>Card from library (benefits prefill)</t>
        </is>
      </c>
      <c r="G117" s="32" t="inlineStr">
        <is>
          <t>Tertiary</t>
        </is>
      </c>
      <c r="H117" s="32" t="inlineStr">
        <is>
          <t>Type-and-pick from bank card library</t>
        </is>
      </c>
      <c r="I117" s="32" t="inlineStr">
        <is>
          <t>Benefits and annual fee</t>
        </is>
      </c>
      <c r="J117" s="32" t="n"/>
      <c r="K117" s="32" t="inlineStr">
        <is>
          <t>Client</t>
        </is>
      </c>
      <c r="L117" s="32" t="inlineStr">
        <is>
          <t>Sometimes</t>
        </is>
      </c>
      <c r="M117" s="32" t="inlineStr">
        <is>
          <t>All</t>
        </is>
      </c>
      <c r="N117" s="32" t="inlineStr">
        <is>
          <t>Low</t>
        </is>
      </c>
      <c r="O117" s="32" t="inlineStr">
        <is>
          <t>Yes</t>
        </is>
      </c>
      <c r="P117" s="32" t="inlineStr">
        <is>
          <t>Now</t>
        </is>
      </c>
      <c r="Q117" s="32" t="n"/>
      <c r="S117" s="10" t="inlineStr">
        <is>
          <t>My Money › Debt</t>
        </is>
      </c>
      <c r="T117" s="10" t="inlineStr">
        <is>
          <t>choice</t>
        </is>
      </c>
      <c r="U117" s="10" t="inlineStr"/>
      <c r="V117" s="33" t="inlineStr">
        <is>
          <t>5</t>
        </is>
      </c>
    </row>
    <row r="118">
      <c r="A118" s="32" t="inlineStr">
        <is>
          <t>F116</t>
        </is>
      </c>
      <c r="B118" s="32" t="inlineStr">
        <is>
          <t>Not started</t>
        </is>
      </c>
      <c r="C118" s="32" t="inlineStr">
        <is>
          <t>Session 2+</t>
        </is>
      </c>
      <c r="D118" s="32" t="inlineStr">
        <is>
          <t>Debt</t>
        </is>
      </c>
      <c r="E118" s="32" t="inlineStr">
        <is>
          <t>Credit cards</t>
        </is>
      </c>
      <c r="F118" s="32" t="inlineStr">
        <is>
          <t>Annual fee</t>
        </is>
      </c>
      <c r="G118" s="32" t="inlineStr">
        <is>
          <t>Tertiary</t>
        </is>
      </c>
      <c r="H118" s="32" t="inlineStr">
        <is>
          <t>Amount</t>
        </is>
      </c>
      <c r="I118" s="32" t="inlineStr">
        <is>
          <t>Keep or cancel</t>
        </is>
      </c>
      <c r="J118" s="32" t="n"/>
      <c r="K118" s="32" t="inlineStr">
        <is>
          <t>Client</t>
        </is>
      </c>
      <c r="L118" s="32" t="inlineStr">
        <is>
          <t>Sometimes</t>
        </is>
      </c>
      <c r="M118" s="32" t="inlineStr">
        <is>
          <t>All</t>
        </is>
      </c>
      <c r="N118" s="32" t="inlineStr">
        <is>
          <t>Low</t>
        </is>
      </c>
      <c r="O118" s="32" t="inlineStr">
        <is>
          <t>Yes</t>
        </is>
      </c>
      <c r="P118" s="32" t="inlineStr">
        <is>
          <t>Now</t>
        </is>
      </c>
      <c r="Q118" s="32" t="n"/>
      <c r="S118" s="10" t="inlineStr">
        <is>
          <t>My Money › Debt</t>
        </is>
      </c>
      <c r="T118" s="10" t="inlineStr">
        <is>
          <t>money</t>
        </is>
      </c>
      <c r="U118" s="10" t="inlineStr"/>
      <c r="V118" s="33" t="inlineStr">
        <is>
          <t>5</t>
        </is>
      </c>
    </row>
    <row r="119">
      <c r="A119" s="32" t="inlineStr">
        <is>
          <t>F117</t>
        </is>
      </c>
      <c r="B119" s="32" t="inlineStr">
        <is>
          <t>Not started</t>
        </is>
      </c>
      <c r="C119" s="32" t="inlineStr">
        <is>
          <t>Session 1</t>
        </is>
      </c>
      <c r="D119" s="32" t="inlineStr">
        <is>
          <t>Debt</t>
        </is>
      </c>
      <c r="E119" s="32" t="inlineStr">
        <is>
          <t>Student loans</t>
        </is>
      </c>
      <c r="F119" s="32" t="inlineStr">
        <is>
          <t>Name or lender</t>
        </is>
      </c>
      <c r="G119" s="32" t="inlineStr">
        <is>
          <t>Primary</t>
        </is>
      </c>
      <c r="H119" s="32" t="inlineStr">
        <is>
          <t>Text box</t>
        </is>
      </c>
      <c r="I119" s="32" t="inlineStr">
        <is>
          <t>Labels the row</t>
        </is>
      </c>
      <c r="J119" s="32" t="inlineStr">
        <is>
          <t>Add, duplicate, mark rough, not now</t>
        </is>
      </c>
      <c r="K119" s="32" t="inlineStr">
        <is>
          <t>Client</t>
        </is>
      </c>
      <c r="L119" s="32" t="n"/>
      <c r="M119" s="32" t="inlineStr">
        <is>
          <t>All</t>
        </is>
      </c>
      <c r="N119" s="32" t="inlineStr">
        <is>
          <t>Low</t>
        </is>
      </c>
      <c r="O119" s="32" t="inlineStr">
        <is>
          <t>Yes</t>
        </is>
      </c>
      <c r="P119" s="32" t="inlineStr">
        <is>
          <t>Now</t>
        </is>
      </c>
      <c r="Q119" s="32" t="n"/>
      <c r="S119" s="10" t="inlineStr">
        <is>
          <t>My Money › Debt</t>
        </is>
      </c>
      <c r="T119" s="10" t="inlineStr">
        <is>
          <t>text</t>
        </is>
      </c>
      <c r="U119" s="10" t="inlineStr"/>
      <c r="V119" s="33" t="inlineStr">
        <is>
          <t>5</t>
        </is>
      </c>
    </row>
    <row r="120">
      <c r="A120" s="32" t="inlineStr">
        <is>
          <t>F118</t>
        </is>
      </c>
      <c r="B120" s="32" t="inlineStr">
        <is>
          <t>Not started</t>
        </is>
      </c>
      <c r="C120" s="32" t="inlineStr">
        <is>
          <t>Session 1</t>
        </is>
      </c>
      <c r="D120" s="32" t="inlineStr">
        <is>
          <t>Debt</t>
        </is>
      </c>
      <c r="E120" s="32" t="inlineStr">
        <is>
          <t>Student loans</t>
        </is>
      </c>
      <c r="F120" s="32" t="inlineStr">
        <is>
          <t>Balance</t>
        </is>
      </c>
      <c r="G120" s="32" t="inlineStr">
        <is>
          <t>Primary</t>
        </is>
      </c>
      <c r="H120" s="32" t="inlineStr">
        <is>
          <t>Amount</t>
        </is>
      </c>
      <c r="I120" s="32" t="inlineStr">
        <is>
          <t>Net worth, payoff, debt total</t>
        </is>
      </c>
      <c r="J120" s="32" t="inlineStr">
        <is>
          <t>Add, duplicate, mark rough, not now</t>
        </is>
      </c>
      <c r="K120" s="32" t="inlineStr">
        <is>
          <t>Client</t>
        </is>
      </c>
      <c r="L120" s="32" t="n"/>
      <c r="M120" s="32" t="inlineStr">
        <is>
          <t>All</t>
        </is>
      </c>
      <c r="N120" s="32" t="inlineStr">
        <is>
          <t>High</t>
        </is>
      </c>
      <c r="O120" s="32" t="inlineStr">
        <is>
          <t>Yes</t>
        </is>
      </c>
      <c r="P120" s="32" t="inlineStr">
        <is>
          <t>Now</t>
        </is>
      </c>
      <c r="Q120" s="32" t="inlineStr">
        <is>
          <t>Your sheet row 9</t>
        </is>
      </c>
      <c r="S120" s="10" t="inlineStr">
        <is>
          <t>My Money › Debt</t>
        </is>
      </c>
      <c r="T120" s="10" t="inlineStr">
        <is>
          <t>money</t>
        </is>
      </c>
      <c r="U120" s="10" t="inlineStr"/>
      <c r="V120" s="33" t="inlineStr">
        <is>
          <t>5</t>
        </is>
      </c>
    </row>
    <row r="121">
      <c r="A121" s="32" t="inlineStr">
        <is>
          <t>F119</t>
        </is>
      </c>
      <c r="B121" s="32" t="inlineStr">
        <is>
          <t>Not started</t>
        </is>
      </c>
      <c r="C121" s="32" t="inlineStr">
        <is>
          <t>Session 1</t>
        </is>
      </c>
      <c r="D121" s="32" t="inlineStr">
        <is>
          <t>Debt</t>
        </is>
      </c>
      <c r="E121" s="32" t="inlineStr">
        <is>
          <t>Student loans</t>
        </is>
      </c>
      <c r="F121" s="32" t="inlineStr">
        <is>
          <t>Interest rate (APR)</t>
        </is>
      </c>
      <c r="G121" s="32" t="inlineStr">
        <is>
          <t>Primary</t>
        </is>
      </c>
      <c r="H121" s="32" t="inlineStr">
        <is>
          <t>Percent with 'not sure' (fills typical rate, marked Rough)</t>
        </is>
      </c>
      <c r="I121" s="32" t="inlineStr">
        <is>
          <t>Payoff order, total interest</t>
        </is>
      </c>
      <c r="J121" s="32" t="inlineStr">
        <is>
          <t>Add, duplicate, mark rough, not now</t>
        </is>
      </c>
      <c r="K121" s="32" t="inlineStr">
        <is>
          <t>Client</t>
        </is>
      </c>
      <c r="L121" s="32" t="n"/>
      <c r="M121" s="32" t="inlineStr">
        <is>
          <t>All</t>
        </is>
      </c>
      <c r="N121" s="32" t="inlineStr">
        <is>
          <t>High</t>
        </is>
      </c>
      <c r="O121" s="32" t="inlineStr">
        <is>
          <t>Yes</t>
        </is>
      </c>
      <c r="P121" s="32" t="inlineStr">
        <is>
          <t>Now</t>
        </is>
      </c>
      <c r="Q121" s="32" t="n"/>
      <c r="S121" s="10" t="inlineStr">
        <is>
          <t>My Money › Debt</t>
        </is>
      </c>
      <c r="T121" s="10" t="inlineStr">
        <is>
          <t>percent</t>
        </is>
      </c>
      <c r="U121" s="10" t="inlineStr"/>
      <c r="V121" s="33" t="inlineStr">
        <is>
          <t>5</t>
        </is>
      </c>
    </row>
    <row r="122">
      <c r="A122" s="32" t="inlineStr">
        <is>
          <t>F120</t>
        </is>
      </c>
      <c r="B122" s="32" t="inlineStr">
        <is>
          <t>Not started</t>
        </is>
      </c>
      <c r="C122" s="32" t="inlineStr">
        <is>
          <t>Session 1</t>
        </is>
      </c>
      <c r="D122" s="32" t="inlineStr">
        <is>
          <t>Debt</t>
        </is>
      </c>
      <c r="E122" s="32" t="inlineStr">
        <is>
          <t>Student loans</t>
        </is>
      </c>
      <c r="F122" s="32" t="inlineStr">
        <is>
          <t>Monthly payment</t>
        </is>
      </c>
      <c r="G122" s="32" t="inlineStr">
        <is>
          <t>Primary</t>
        </is>
      </c>
      <c r="H122" s="32" t="inlineStr">
        <is>
          <t>Amount</t>
        </is>
      </c>
      <c r="I122" s="32" t="inlineStr">
        <is>
          <t>Cash flow, payoff date</t>
        </is>
      </c>
      <c r="J122" s="32" t="inlineStr">
        <is>
          <t>Add, duplicate, mark rough, not now</t>
        </is>
      </c>
      <c r="K122" s="32" t="inlineStr">
        <is>
          <t>Client</t>
        </is>
      </c>
      <c r="L122" s="32" t="n"/>
      <c r="M122" s="32" t="inlineStr">
        <is>
          <t>All</t>
        </is>
      </c>
      <c r="N122" s="32" t="inlineStr">
        <is>
          <t>High</t>
        </is>
      </c>
      <c r="O122" s="32" t="inlineStr">
        <is>
          <t>Yes</t>
        </is>
      </c>
      <c r="P122" s="32" t="inlineStr">
        <is>
          <t>Now</t>
        </is>
      </c>
      <c r="Q122" s="32" t="n"/>
      <c r="S122" s="10" t="inlineStr">
        <is>
          <t>My Money › Debt</t>
        </is>
      </c>
      <c r="T122" s="10" t="inlineStr">
        <is>
          <t>money</t>
        </is>
      </c>
      <c r="U122" s="10" t="inlineStr"/>
      <c r="V122" s="33" t="inlineStr">
        <is>
          <t>5</t>
        </is>
      </c>
    </row>
    <row r="123">
      <c r="A123" s="32" t="inlineStr">
        <is>
          <t>F121</t>
        </is>
      </c>
      <c r="B123" s="32" t="inlineStr">
        <is>
          <t>Not started</t>
        </is>
      </c>
      <c r="C123" s="32" t="inlineStr">
        <is>
          <t>Session 1</t>
        </is>
      </c>
      <c r="D123" s="32" t="inlineStr">
        <is>
          <t>Debt</t>
        </is>
      </c>
      <c r="E123" s="32" t="inlineStr">
        <is>
          <t>Student loans</t>
        </is>
      </c>
      <c r="F123" s="32" t="inlineStr">
        <is>
          <t>Federal or private</t>
        </is>
      </c>
      <c r="G123" s="32" t="inlineStr">
        <is>
          <t>Secondary</t>
        </is>
      </c>
      <c r="H123" s="32" t="inlineStr">
        <is>
          <t>Toggle</t>
        </is>
      </c>
      <c r="I123" s="32" t="inlineStr">
        <is>
          <t>Repayment options</t>
        </is>
      </c>
      <c r="J123" s="32" t="n"/>
      <c r="K123" s="32" t="inlineStr">
        <is>
          <t>Client</t>
        </is>
      </c>
      <c r="L123" s="32" t="inlineStr">
        <is>
          <t>Often</t>
        </is>
      </c>
      <c r="M123" s="32" t="inlineStr">
        <is>
          <t>All</t>
        </is>
      </c>
      <c r="N123" s="32" t="inlineStr">
        <is>
          <t>High</t>
        </is>
      </c>
      <c r="O123" s="32" t="inlineStr">
        <is>
          <t>Yes</t>
        </is>
      </c>
      <c r="P123" s="32" t="inlineStr">
        <is>
          <t>Now</t>
        </is>
      </c>
      <c r="Q123" s="32" t="n"/>
      <c r="S123" s="10" t="inlineStr">
        <is>
          <t>My Money › Debt</t>
        </is>
      </c>
      <c r="T123" s="10" t="inlineStr">
        <is>
          <t>choice</t>
        </is>
      </c>
      <c r="U123" s="10" t="inlineStr"/>
      <c r="V123" s="33" t="inlineStr">
        <is>
          <t>5</t>
        </is>
      </c>
    </row>
    <row r="124">
      <c r="A124" s="32" t="inlineStr">
        <is>
          <t>F122</t>
        </is>
      </c>
      <c r="B124" s="32" t="inlineStr">
        <is>
          <t>Not started</t>
        </is>
      </c>
      <c r="C124" s="32" t="inlineStr">
        <is>
          <t>Session 1</t>
        </is>
      </c>
      <c r="D124" s="32" t="inlineStr">
        <is>
          <t>Debt</t>
        </is>
      </c>
      <c r="E124" s="32" t="inlineStr">
        <is>
          <t>Student loans</t>
        </is>
      </c>
      <c r="F124" s="32" t="inlineStr">
        <is>
          <t>Servicer</t>
        </is>
      </c>
      <c r="G124" s="32" t="inlineStr">
        <is>
          <t>Secondary</t>
        </is>
      </c>
      <c r="H124" s="32" t="inlineStr">
        <is>
          <t>Type-and-pick</t>
        </is>
      </c>
      <c r="I124" s="32" t="inlineStr">
        <is>
          <t>Where to look things up</t>
        </is>
      </c>
      <c r="J124" s="32" t="n"/>
      <c r="K124" s="32" t="inlineStr">
        <is>
          <t>Client</t>
        </is>
      </c>
      <c r="L124" s="32" t="inlineStr">
        <is>
          <t>Often</t>
        </is>
      </c>
      <c r="M124" s="32" t="inlineStr">
        <is>
          <t>All</t>
        </is>
      </c>
      <c r="N124" s="32" t="inlineStr">
        <is>
          <t>Low</t>
        </is>
      </c>
      <c r="O124" s="32" t="inlineStr">
        <is>
          <t>Yes</t>
        </is>
      </c>
      <c r="P124" s="32" t="inlineStr">
        <is>
          <t>Now</t>
        </is>
      </c>
      <c r="Q124" s="32" t="n"/>
      <c r="S124" s="10" t="inlineStr">
        <is>
          <t>My Money › Debt</t>
        </is>
      </c>
      <c r="T124" s="10" t="inlineStr">
        <is>
          <t>choice</t>
        </is>
      </c>
      <c r="U124" s="10" t="inlineStr"/>
      <c r="V124" s="33" t="inlineStr">
        <is>
          <t>5</t>
        </is>
      </c>
    </row>
    <row r="125">
      <c r="A125" s="32" t="inlineStr">
        <is>
          <t>F123</t>
        </is>
      </c>
      <c r="B125" s="32" t="inlineStr">
        <is>
          <t>Not started</t>
        </is>
      </c>
      <c r="C125" s="32" t="inlineStr">
        <is>
          <t>Session 1</t>
        </is>
      </c>
      <c r="D125" s="32" t="inlineStr">
        <is>
          <t>Debt</t>
        </is>
      </c>
      <c r="E125" s="32" t="inlineStr">
        <is>
          <t>Student loans</t>
        </is>
      </c>
      <c r="F125" s="32" t="inlineStr">
        <is>
          <t>Repayment plan</t>
        </is>
      </c>
      <c r="G125" s="32" t="inlineStr">
        <is>
          <t>Secondary</t>
        </is>
      </c>
      <c r="H125" s="32" t="inlineStr">
        <is>
          <t>Pick: standard, income-driven, other</t>
        </is>
      </c>
      <c r="I125" s="32" t="inlineStr">
        <is>
          <t>Payment projection</t>
        </is>
      </c>
      <c r="J125" s="32" t="n"/>
      <c r="K125" s="32" t="inlineStr">
        <is>
          <t>Client</t>
        </is>
      </c>
      <c r="L125" s="32" t="inlineStr">
        <is>
          <t>Often</t>
        </is>
      </c>
      <c r="M125" s="32" t="inlineStr">
        <is>
          <t>All</t>
        </is>
      </c>
      <c r="N125" s="32" t="inlineStr">
        <is>
          <t>Medium</t>
        </is>
      </c>
      <c r="O125" s="32" t="inlineStr">
        <is>
          <t>Yes</t>
        </is>
      </c>
      <c r="P125" s="32" t="inlineStr">
        <is>
          <t>Now</t>
        </is>
      </c>
      <c r="Q125" s="32" t="n"/>
      <c r="S125" s="10" t="inlineStr">
        <is>
          <t>My Money › Debt</t>
        </is>
      </c>
      <c r="T125" s="10" t="inlineStr">
        <is>
          <t>choice</t>
        </is>
      </c>
      <c r="U125" s="10" t="inlineStr">
        <is>
          <t>standard, income-driven, other</t>
        </is>
      </c>
      <c r="V125" s="33" t="inlineStr">
        <is>
          <t>5</t>
        </is>
      </c>
    </row>
    <row r="126">
      <c r="A126" s="32" t="inlineStr">
        <is>
          <t>F124</t>
        </is>
      </c>
      <c r="B126" s="32" t="inlineStr">
        <is>
          <t>Not started</t>
        </is>
      </c>
      <c r="C126" s="32" t="inlineStr">
        <is>
          <t>Session 2+</t>
        </is>
      </c>
      <c r="D126" s="32" t="inlineStr">
        <is>
          <t>Debt</t>
        </is>
      </c>
      <c r="E126" s="32" t="inlineStr">
        <is>
          <t>Student loans</t>
        </is>
      </c>
      <c r="F126" s="32" t="inlineStr">
        <is>
          <t>Each loan separately</t>
        </is>
      </c>
      <c r="G126" s="32" t="inlineStr">
        <is>
          <t>Tertiary</t>
        </is>
      </c>
      <c r="H126" s="32" t="inlineStr">
        <is>
          <t>Add rows under the group</t>
        </is>
      </c>
      <c r="I126" s="32" t="inlineStr">
        <is>
          <t>Rate-by-rate payoff</t>
        </is>
      </c>
      <c r="J126" s="32" t="n"/>
      <c r="K126" s="32" t="inlineStr">
        <is>
          <t>Client</t>
        </is>
      </c>
      <c r="L126" s="32" t="inlineStr">
        <is>
          <t>Sometimes</t>
        </is>
      </c>
      <c r="M126" s="32" t="inlineStr">
        <is>
          <t>All</t>
        </is>
      </c>
      <c r="N126" s="32" t="inlineStr">
        <is>
          <t>Medium</t>
        </is>
      </c>
      <c r="O126" s="32" t="inlineStr">
        <is>
          <t>Yes</t>
        </is>
      </c>
      <c r="P126" s="32" t="inlineStr">
        <is>
          <t>Now</t>
        </is>
      </c>
      <c r="Q126" s="32" t="n"/>
      <c r="S126" s="10" t="inlineStr">
        <is>
          <t>My Money › Debt</t>
        </is>
      </c>
      <c r="T126" s="10" t="inlineStr">
        <is>
          <t>text</t>
        </is>
      </c>
      <c r="U126" s="10" t="inlineStr"/>
      <c r="V126" s="33" t="inlineStr">
        <is>
          <t>5</t>
        </is>
      </c>
    </row>
    <row r="127">
      <c r="A127" s="32" t="inlineStr">
        <is>
          <t>F125</t>
        </is>
      </c>
      <c r="B127" s="32" t="inlineStr">
        <is>
          <t>Not started</t>
        </is>
      </c>
      <c r="C127" s="32" t="inlineStr">
        <is>
          <t>Session 2+</t>
        </is>
      </c>
      <c r="D127" s="32" t="inlineStr">
        <is>
          <t>Debt</t>
        </is>
      </c>
      <c r="E127" s="32" t="inlineStr">
        <is>
          <t>Student loans</t>
        </is>
      </c>
      <c r="F127" s="32" t="inlineStr">
        <is>
          <t>Public Service Loan Forgiveness eligible</t>
        </is>
      </c>
      <c r="G127" s="32" t="inlineStr">
        <is>
          <t>Tertiary</t>
        </is>
      </c>
      <c r="H127" s="32" t="inlineStr">
        <is>
          <t>Yes, no, not sure</t>
        </is>
      </c>
      <c r="I127" s="32" t="inlineStr">
        <is>
          <t>Forgiveness path</t>
        </is>
      </c>
      <c r="J127" s="32" t="n"/>
      <c r="K127" s="32" t="inlineStr">
        <is>
          <t>Client</t>
        </is>
      </c>
      <c r="L127" s="32" t="inlineStr">
        <is>
          <t>Sometimes</t>
        </is>
      </c>
      <c r="M127" s="32" t="inlineStr">
        <is>
          <t>All</t>
        </is>
      </c>
      <c r="N127" s="32" t="inlineStr">
        <is>
          <t>Medium</t>
        </is>
      </c>
      <c r="O127" s="32" t="inlineStr">
        <is>
          <t>Yes</t>
        </is>
      </c>
      <c r="P127" s="32" t="inlineStr">
        <is>
          <t>Now</t>
        </is>
      </c>
      <c r="Q127" s="32" t="n"/>
      <c r="S127" s="10" t="inlineStr">
        <is>
          <t>My Money › Debt</t>
        </is>
      </c>
      <c r="T127" s="10" t="inlineStr">
        <is>
          <t>choice</t>
        </is>
      </c>
      <c r="U127" s="10" t="inlineStr">
        <is>
          <t>Yes, No, Not sure</t>
        </is>
      </c>
      <c r="V127" s="33" t="inlineStr">
        <is>
          <t>5</t>
        </is>
      </c>
    </row>
    <row r="128">
      <c r="A128" s="32" t="inlineStr">
        <is>
          <t>F126</t>
        </is>
      </c>
      <c r="B128" s="32" t="inlineStr">
        <is>
          <t>Not started</t>
        </is>
      </c>
      <c r="C128" s="32" t="inlineStr">
        <is>
          <t>Session 2+</t>
        </is>
      </c>
      <c r="D128" s="32" t="inlineStr">
        <is>
          <t>Debt</t>
        </is>
      </c>
      <c r="E128" s="32" t="inlineStr">
        <is>
          <t>Student loans</t>
        </is>
      </c>
      <c r="F128" s="32" t="inlineStr">
        <is>
          <t>Forbearance or deferment status</t>
        </is>
      </c>
      <c r="G128" s="32" t="inlineStr">
        <is>
          <t>Tertiary</t>
        </is>
      </c>
      <c r="H128" s="32" t="inlineStr">
        <is>
          <t>Pick one</t>
        </is>
      </c>
      <c r="I128" s="32" t="inlineStr">
        <is>
          <t>Payment pause</t>
        </is>
      </c>
      <c r="J128" s="32" t="n"/>
      <c r="K128" s="32" t="inlineStr">
        <is>
          <t>Client</t>
        </is>
      </c>
      <c r="L128" s="32" t="inlineStr">
        <is>
          <t>Sometimes</t>
        </is>
      </c>
      <c r="M128" s="32" t="inlineStr">
        <is>
          <t>All</t>
        </is>
      </c>
      <c r="N128" s="32" t="inlineStr">
        <is>
          <t>Low</t>
        </is>
      </c>
      <c r="O128" s="32" t="inlineStr">
        <is>
          <t>Yes</t>
        </is>
      </c>
      <c r="P128" s="32" t="inlineStr">
        <is>
          <t>Now</t>
        </is>
      </c>
      <c r="Q128" s="32" t="n"/>
      <c r="S128" s="10" t="inlineStr">
        <is>
          <t>My Money › Debt</t>
        </is>
      </c>
      <c r="T128" s="10" t="inlineStr">
        <is>
          <t>choice</t>
        </is>
      </c>
      <c r="U128" s="10" t="inlineStr"/>
      <c r="V128" s="33" t="inlineStr">
        <is>
          <t>5</t>
        </is>
      </c>
    </row>
    <row r="129">
      <c r="A129" s="32" t="inlineStr">
        <is>
          <t>F127</t>
        </is>
      </c>
      <c r="B129" s="32" t="inlineStr">
        <is>
          <t>Not started</t>
        </is>
      </c>
      <c r="C129" s="32" t="inlineStr">
        <is>
          <t>Session 1</t>
        </is>
      </c>
      <c r="D129" s="32" t="inlineStr">
        <is>
          <t>Debt</t>
        </is>
      </c>
      <c r="E129" s="32" t="inlineStr">
        <is>
          <t>Auto loan</t>
        </is>
      </c>
      <c r="F129" s="32" t="inlineStr">
        <is>
          <t>Name or lender</t>
        </is>
      </c>
      <c r="G129" s="32" t="inlineStr">
        <is>
          <t>Primary</t>
        </is>
      </c>
      <c r="H129" s="32" t="inlineStr">
        <is>
          <t>Text box</t>
        </is>
      </c>
      <c r="I129" s="32" t="inlineStr">
        <is>
          <t>Labels the row</t>
        </is>
      </c>
      <c r="J129" s="32" t="inlineStr">
        <is>
          <t>Add, duplicate, mark rough, not now</t>
        </is>
      </c>
      <c r="K129" s="32" t="inlineStr">
        <is>
          <t>Client</t>
        </is>
      </c>
      <c r="L129" s="32" t="n"/>
      <c r="M129" s="32" t="inlineStr">
        <is>
          <t>All</t>
        </is>
      </c>
      <c r="N129" s="32" t="inlineStr">
        <is>
          <t>Low</t>
        </is>
      </c>
      <c r="O129" s="32" t="inlineStr">
        <is>
          <t>Yes</t>
        </is>
      </c>
      <c r="P129" s="32" t="inlineStr">
        <is>
          <t>Now</t>
        </is>
      </c>
      <c r="Q129" s="32" t="n"/>
      <c r="S129" s="10" t="inlineStr">
        <is>
          <t>My Money › Debt</t>
        </is>
      </c>
      <c r="T129" s="10" t="inlineStr">
        <is>
          <t>text</t>
        </is>
      </c>
      <c r="U129" s="10" t="inlineStr"/>
      <c r="V129" s="33" t="inlineStr">
        <is>
          <t>5</t>
        </is>
      </c>
    </row>
    <row r="130">
      <c r="A130" s="32" t="inlineStr">
        <is>
          <t>F128</t>
        </is>
      </c>
      <c r="B130" s="32" t="inlineStr">
        <is>
          <t>Not started</t>
        </is>
      </c>
      <c r="C130" s="32" t="inlineStr">
        <is>
          <t>Session 1</t>
        </is>
      </c>
      <c r="D130" s="32" t="inlineStr">
        <is>
          <t>Debt</t>
        </is>
      </c>
      <c r="E130" s="32" t="inlineStr">
        <is>
          <t>Auto loan</t>
        </is>
      </c>
      <c r="F130" s="32" t="inlineStr">
        <is>
          <t>Balance</t>
        </is>
      </c>
      <c r="G130" s="32" t="inlineStr">
        <is>
          <t>Primary</t>
        </is>
      </c>
      <c r="H130" s="32" t="inlineStr">
        <is>
          <t>Amount</t>
        </is>
      </c>
      <c r="I130" s="32" t="inlineStr">
        <is>
          <t>Net worth, payoff, debt total</t>
        </is>
      </c>
      <c r="J130" s="32" t="inlineStr">
        <is>
          <t>Add, duplicate, mark rough, not now</t>
        </is>
      </c>
      <c r="K130" s="32" t="inlineStr">
        <is>
          <t>Client</t>
        </is>
      </c>
      <c r="L130" s="32" t="n"/>
      <c r="M130" s="32" t="inlineStr">
        <is>
          <t>All</t>
        </is>
      </c>
      <c r="N130" s="32" t="inlineStr">
        <is>
          <t>High</t>
        </is>
      </c>
      <c r="O130" s="32" t="inlineStr">
        <is>
          <t>Yes</t>
        </is>
      </c>
      <c r="P130" s="32" t="inlineStr">
        <is>
          <t>Now</t>
        </is>
      </c>
      <c r="Q130" s="32" t="inlineStr">
        <is>
          <t>Lives on the car asset row; Debt tab shows it too so the total is right</t>
        </is>
      </c>
      <c r="S130" s="10" t="inlineStr">
        <is>
          <t>My Money › Debt</t>
        </is>
      </c>
      <c r="T130" s="10" t="inlineStr">
        <is>
          <t>money</t>
        </is>
      </c>
      <c r="U130" s="10" t="inlineStr"/>
      <c r="V130" s="33" t="inlineStr">
        <is>
          <t>5</t>
        </is>
      </c>
    </row>
    <row r="131">
      <c r="A131" s="32" t="inlineStr">
        <is>
          <t>F129</t>
        </is>
      </c>
      <c r="B131" s="32" t="inlineStr">
        <is>
          <t>Not started</t>
        </is>
      </c>
      <c r="C131" s="32" t="inlineStr">
        <is>
          <t>Session 1</t>
        </is>
      </c>
      <c r="D131" s="32" t="inlineStr">
        <is>
          <t>Debt</t>
        </is>
      </c>
      <c r="E131" s="32" t="inlineStr">
        <is>
          <t>Auto loan</t>
        </is>
      </c>
      <c r="F131" s="32" t="inlineStr">
        <is>
          <t>Interest rate (APR)</t>
        </is>
      </c>
      <c r="G131" s="32" t="inlineStr">
        <is>
          <t>Primary</t>
        </is>
      </c>
      <c r="H131" s="32" t="inlineStr">
        <is>
          <t>Percent with 'not sure' (fills typical rate, marked Rough)</t>
        </is>
      </c>
      <c r="I131" s="32" t="inlineStr">
        <is>
          <t>Payoff order, total interest</t>
        </is>
      </c>
      <c r="J131" s="32" t="inlineStr">
        <is>
          <t>Add, duplicate, mark rough, not now</t>
        </is>
      </c>
      <c r="K131" s="32" t="inlineStr">
        <is>
          <t>Client</t>
        </is>
      </c>
      <c r="L131" s="32" t="n"/>
      <c r="M131" s="32" t="inlineStr">
        <is>
          <t>All</t>
        </is>
      </c>
      <c r="N131" s="32" t="inlineStr">
        <is>
          <t>High</t>
        </is>
      </c>
      <c r="O131" s="32" t="inlineStr">
        <is>
          <t>Yes</t>
        </is>
      </c>
      <c r="P131" s="32" t="inlineStr">
        <is>
          <t>Now</t>
        </is>
      </c>
      <c r="Q131" s="32" t="n"/>
      <c r="S131" s="10" t="inlineStr">
        <is>
          <t>My Money › Debt</t>
        </is>
      </c>
      <c r="T131" s="10" t="inlineStr">
        <is>
          <t>percent</t>
        </is>
      </c>
      <c r="U131" s="10" t="inlineStr"/>
      <c r="V131" s="33" t="inlineStr">
        <is>
          <t>5</t>
        </is>
      </c>
    </row>
    <row r="132">
      <c r="A132" s="32" t="inlineStr">
        <is>
          <t>F130</t>
        </is>
      </c>
      <c r="B132" s="32" t="inlineStr">
        <is>
          <t>Not started</t>
        </is>
      </c>
      <c r="C132" s="32" t="inlineStr">
        <is>
          <t>Session 1</t>
        </is>
      </c>
      <c r="D132" s="32" t="inlineStr">
        <is>
          <t>Debt</t>
        </is>
      </c>
      <c r="E132" s="32" t="inlineStr">
        <is>
          <t>Auto loan</t>
        </is>
      </c>
      <c r="F132" s="32" t="inlineStr">
        <is>
          <t>Monthly payment</t>
        </is>
      </c>
      <c r="G132" s="32" t="inlineStr">
        <is>
          <t>Primary</t>
        </is>
      </c>
      <c r="H132" s="32" t="inlineStr">
        <is>
          <t>Amount</t>
        </is>
      </c>
      <c r="I132" s="32" t="inlineStr">
        <is>
          <t>Cash flow, payoff date</t>
        </is>
      </c>
      <c r="J132" s="32" t="inlineStr">
        <is>
          <t>Add, duplicate, mark rough, not now</t>
        </is>
      </c>
      <c r="K132" s="32" t="inlineStr">
        <is>
          <t>Client</t>
        </is>
      </c>
      <c r="L132" s="32" t="n"/>
      <c r="M132" s="32" t="inlineStr">
        <is>
          <t>All</t>
        </is>
      </c>
      <c r="N132" s="32" t="inlineStr">
        <is>
          <t>High</t>
        </is>
      </c>
      <c r="O132" s="32" t="inlineStr">
        <is>
          <t>Yes</t>
        </is>
      </c>
      <c r="P132" s="32" t="inlineStr">
        <is>
          <t>Now</t>
        </is>
      </c>
      <c r="Q132" s="32" t="n"/>
      <c r="S132" s="10" t="inlineStr">
        <is>
          <t>My Money › Debt</t>
        </is>
      </c>
      <c r="T132" s="10" t="inlineStr">
        <is>
          <t>money</t>
        </is>
      </c>
      <c r="U132" s="10" t="inlineStr"/>
      <c r="V132" s="33" t="inlineStr">
        <is>
          <t>5</t>
        </is>
      </c>
    </row>
    <row r="133">
      <c r="A133" s="32" t="inlineStr">
        <is>
          <t>F131</t>
        </is>
      </c>
      <c r="B133" s="32" t="inlineStr">
        <is>
          <t>Not started</t>
        </is>
      </c>
      <c r="C133" s="32" t="inlineStr">
        <is>
          <t>Session 1</t>
        </is>
      </c>
      <c r="D133" s="32" t="inlineStr">
        <is>
          <t>Debt</t>
        </is>
      </c>
      <c r="E133" s="32" t="inlineStr">
        <is>
          <t>Auto loan</t>
        </is>
      </c>
      <c r="F133" s="32" t="inlineStr">
        <is>
          <t>Months remaining</t>
        </is>
      </c>
      <c r="G133" s="32" t="inlineStr">
        <is>
          <t>Secondary</t>
        </is>
      </c>
      <c r="H133" s="32" t="inlineStr">
        <is>
          <t>Number</t>
        </is>
      </c>
      <c r="I133" s="32" t="inlineStr">
        <is>
          <t>Payoff date check</t>
        </is>
      </c>
      <c r="J133" s="32" t="n"/>
      <c r="K133" s="32" t="inlineStr">
        <is>
          <t>Client</t>
        </is>
      </c>
      <c r="L133" s="32" t="inlineStr">
        <is>
          <t>Often</t>
        </is>
      </c>
      <c r="M133" s="32" t="inlineStr">
        <is>
          <t>All</t>
        </is>
      </c>
      <c r="N133" s="32" t="inlineStr">
        <is>
          <t>Medium</t>
        </is>
      </c>
      <c r="O133" s="32" t="inlineStr">
        <is>
          <t>Yes</t>
        </is>
      </c>
      <c r="P133" s="32" t="inlineStr">
        <is>
          <t>Now</t>
        </is>
      </c>
      <c r="Q133" s="32" t="n"/>
      <c r="S133" s="10" t="inlineStr">
        <is>
          <t>My Money › Debt</t>
        </is>
      </c>
      <c r="T133" s="10" t="inlineStr">
        <is>
          <t>whole number</t>
        </is>
      </c>
      <c r="U133" s="10" t="inlineStr"/>
      <c r="V133" s="33" t="inlineStr">
        <is>
          <t>5</t>
        </is>
      </c>
    </row>
    <row r="134">
      <c r="A134" s="32" t="inlineStr">
        <is>
          <t>F132</t>
        </is>
      </c>
      <c r="B134" s="32" t="inlineStr">
        <is>
          <t>Not started</t>
        </is>
      </c>
      <c r="C134" s="32" t="inlineStr">
        <is>
          <t>Session 1</t>
        </is>
      </c>
      <c r="D134" s="32" t="inlineStr">
        <is>
          <t>Debt</t>
        </is>
      </c>
      <c r="E134" s="32" t="inlineStr">
        <is>
          <t>Mortgage</t>
        </is>
      </c>
      <c r="F134" s="32" t="inlineStr">
        <is>
          <t>Name or lender</t>
        </is>
      </c>
      <c r="G134" s="32" t="inlineStr">
        <is>
          <t>Primary</t>
        </is>
      </c>
      <c r="H134" s="32" t="inlineStr">
        <is>
          <t>Text box</t>
        </is>
      </c>
      <c r="I134" s="32" t="inlineStr">
        <is>
          <t>Labels the row</t>
        </is>
      </c>
      <c r="J134" s="32" t="inlineStr">
        <is>
          <t>Add, duplicate, mark rough, not now</t>
        </is>
      </c>
      <c r="K134" s="32" t="inlineStr">
        <is>
          <t>Client</t>
        </is>
      </c>
      <c r="L134" s="32" t="n"/>
      <c r="M134" s="32" t="inlineStr">
        <is>
          <t>All</t>
        </is>
      </c>
      <c r="N134" s="32" t="inlineStr">
        <is>
          <t>Low</t>
        </is>
      </c>
      <c r="O134" s="32" t="inlineStr">
        <is>
          <t>Yes</t>
        </is>
      </c>
      <c r="P134" s="32" t="inlineStr">
        <is>
          <t>Now</t>
        </is>
      </c>
      <c r="Q134" s="32" t="n"/>
      <c r="S134" s="10" t="inlineStr">
        <is>
          <t>My Money › Debt</t>
        </is>
      </c>
      <c r="T134" s="10" t="inlineStr">
        <is>
          <t>text</t>
        </is>
      </c>
      <c r="U134" s="10" t="inlineStr"/>
      <c r="V134" s="33" t="inlineStr">
        <is>
          <t>5</t>
        </is>
      </c>
    </row>
    <row r="135">
      <c r="A135" s="32" t="inlineStr">
        <is>
          <t>F133</t>
        </is>
      </c>
      <c r="B135" s="32" t="inlineStr">
        <is>
          <t>Not started</t>
        </is>
      </c>
      <c r="C135" s="32" t="inlineStr">
        <is>
          <t>Session 1</t>
        </is>
      </c>
      <c r="D135" s="32" t="inlineStr">
        <is>
          <t>Debt</t>
        </is>
      </c>
      <c r="E135" s="32" t="inlineStr">
        <is>
          <t>Mortgage</t>
        </is>
      </c>
      <c r="F135" s="32" t="inlineStr">
        <is>
          <t>Balance</t>
        </is>
      </c>
      <c r="G135" s="32" t="inlineStr">
        <is>
          <t>Primary</t>
        </is>
      </c>
      <c r="H135" s="32" t="inlineStr">
        <is>
          <t>Amount</t>
        </is>
      </c>
      <c r="I135" s="32" t="inlineStr">
        <is>
          <t>Net worth, payoff, debt total</t>
        </is>
      </c>
      <c r="J135" s="32" t="inlineStr">
        <is>
          <t>Add, duplicate, mark rough, not now</t>
        </is>
      </c>
      <c r="K135" s="32" t="inlineStr">
        <is>
          <t>Client</t>
        </is>
      </c>
      <c r="L135" s="32" t="n"/>
      <c r="M135" s="32" t="inlineStr">
        <is>
          <t>All</t>
        </is>
      </c>
      <c r="N135" s="32" t="inlineStr">
        <is>
          <t>High</t>
        </is>
      </c>
      <c r="O135" s="32" t="inlineStr">
        <is>
          <t>Yes</t>
        </is>
      </c>
      <c r="P135" s="32" t="inlineStr">
        <is>
          <t>Now</t>
        </is>
      </c>
      <c r="Q135" s="32" t="inlineStr">
        <is>
          <t>Lives on the home asset row</t>
        </is>
      </c>
      <c r="S135" s="10" t="inlineStr">
        <is>
          <t>My Money › Debt</t>
        </is>
      </c>
      <c r="T135" s="10" t="inlineStr">
        <is>
          <t>money</t>
        </is>
      </c>
      <c r="U135" s="10" t="inlineStr"/>
      <c r="V135" s="33" t="inlineStr">
        <is>
          <t>5</t>
        </is>
      </c>
    </row>
    <row r="136">
      <c r="A136" s="32" t="inlineStr">
        <is>
          <t>F134</t>
        </is>
      </c>
      <c r="B136" s="32" t="inlineStr">
        <is>
          <t>Not started</t>
        </is>
      </c>
      <c r="C136" s="32" t="inlineStr">
        <is>
          <t>Session 1</t>
        </is>
      </c>
      <c r="D136" s="32" t="inlineStr">
        <is>
          <t>Debt</t>
        </is>
      </c>
      <c r="E136" s="32" t="inlineStr">
        <is>
          <t>Mortgage</t>
        </is>
      </c>
      <c r="F136" s="32" t="inlineStr">
        <is>
          <t>Interest rate (APR)</t>
        </is>
      </c>
      <c r="G136" s="32" t="inlineStr">
        <is>
          <t>Primary</t>
        </is>
      </c>
      <c r="H136" s="32" t="inlineStr">
        <is>
          <t>Percent with 'not sure' (fills typical rate, marked Rough)</t>
        </is>
      </c>
      <c r="I136" s="32" t="inlineStr">
        <is>
          <t>Payoff order, total interest</t>
        </is>
      </c>
      <c r="J136" s="32" t="inlineStr">
        <is>
          <t>Add, duplicate, mark rough, not now</t>
        </is>
      </c>
      <c r="K136" s="32" t="inlineStr">
        <is>
          <t>Client</t>
        </is>
      </c>
      <c r="L136" s="32" t="n"/>
      <c r="M136" s="32" t="inlineStr">
        <is>
          <t>All</t>
        </is>
      </c>
      <c r="N136" s="32" t="inlineStr">
        <is>
          <t>High</t>
        </is>
      </c>
      <c r="O136" s="32" t="inlineStr">
        <is>
          <t>Yes</t>
        </is>
      </c>
      <c r="P136" s="32" t="inlineStr">
        <is>
          <t>Now</t>
        </is>
      </c>
      <c r="Q136" s="32" t="n"/>
      <c r="S136" s="10" t="inlineStr">
        <is>
          <t>My Money › Debt</t>
        </is>
      </c>
      <c r="T136" s="10" t="inlineStr">
        <is>
          <t>percent</t>
        </is>
      </c>
      <c r="U136" s="10" t="inlineStr"/>
      <c r="V136" s="33" t="inlineStr">
        <is>
          <t>5</t>
        </is>
      </c>
    </row>
    <row r="137">
      <c r="A137" s="32" t="inlineStr">
        <is>
          <t>F135</t>
        </is>
      </c>
      <c r="B137" s="32" t="inlineStr">
        <is>
          <t>Not started</t>
        </is>
      </c>
      <c r="C137" s="32" t="inlineStr">
        <is>
          <t>Session 1</t>
        </is>
      </c>
      <c r="D137" s="32" t="inlineStr">
        <is>
          <t>Debt</t>
        </is>
      </c>
      <c r="E137" s="32" t="inlineStr">
        <is>
          <t>Mortgage</t>
        </is>
      </c>
      <c r="F137" s="32" t="inlineStr">
        <is>
          <t>Monthly payment</t>
        </is>
      </c>
      <c r="G137" s="32" t="inlineStr">
        <is>
          <t>Primary</t>
        </is>
      </c>
      <c r="H137" s="32" t="inlineStr">
        <is>
          <t>Amount</t>
        </is>
      </c>
      <c r="I137" s="32" t="inlineStr">
        <is>
          <t>Cash flow, payoff date</t>
        </is>
      </c>
      <c r="J137" s="32" t="inlineStr">
        <is>
          <t>Add, duplicate, mark rough, not now</t>
        </is>
      </c>
      <c r="K137" s="32" t="inlineStr">
        <is>
          <t>Client</t>
        </is>
      </c>
      <c r="L137" s="32" t="n"/>
      <c r="M137" s="32" t="inlineStr">
        <is>
          <t>All</t>
        </is>
      </c>
      <c r="N137" s="32" t="inlineStr">
        <is>
          <t>High</t>
        </is>
      </c>
      <c r="O137" s="32" t="inlineStr">
        <is>
          <t>Yes</t>
        </is>
      </c>
      <c r="P137" s="32" t="inlineStr">
        <is>
          <t>Now</t>
        </is>
      </c>
      <c r="Q137" s="32" t="n"/>
      <c r="S137" s="10" t="inlineStr">
        <is>
          <t>My Money › Debt</t>
        </is>
      </c>
      <c r="T137" s="10" t="inlineStr">
        <is>
          <t>money</t>
        </is>
      </c>
      <c r="U137" s="10" t="inlineStr"/>
      <c r="V137" s="33" t="inlineStr">
        <is>
          <t>5</t>
        </is>
      </c>
    </row>
    <row r="138">
      <c r="A138" s="32" t="inlineStr">
        <is>
          <t>F136</t>
        </is>
      </c>
      <c r="B138" s="32" t="inlineStr">
        <is>
          <t>Not started</t>
        </is>
      </c>
      <c r="C138" s="32" t="inlineStr">
        <is>
          <t>Session 1</t>
        </is>
      </c>
      <c r="D138" s="32" t="inlineStr">
        <is>
          <t>Debt</t>
        </is>
      </c>
      <c r="E138" s="32" t="inlineStr">
        <is>
          <t>Mortgage</t>
        </is>
      </c>
      <c r="F138" s="32" t="inlineStr">
        <is>
          <t>Fixed or adjustable</t>
        </is>
      </c>
      <c r="G138" s="32" t="inlineStr">
        <is>
          <t>Secondary</t>
        </is>
      </c>
      <c r="H138" s="32" t="inlineStr">
        <is>
          <t>Toggle</t>
        </is>
      </c>
      <c r="I138" s="32" t="inlineStr">
        <is>
          <t>Rate risk</t>
        </is>
      </c>
      <c r="J138" s="32" t="n"/>
      <c r="K138" s="32" t="inlineStr">
        <is>
          <t>Client</t>
        </is>
      </c>
      <c r="L138" s="32" t="inlineStr">
        <is>
          <t>Often</t>
        </is>
      </c>
      <c r="M138" s="32" t="inlineStr">
        <is>
          <t>All</t>
        </is>
      </c>
      <c r="N138" s="32" t="inlineStr">
        <is>
          <t>Medium</t>
        </is>
      </c>
      <c r="O138" s="32" t="inlineStr">
        <is>
          <t>Yes</t>
        </is>
      </c>
      <c r="P138" s="32" t="inlineStr">
        <is>
          <t>Now</t>
        </is>
      </c>
      <c r="Q138" s="32" t="n"/>
      <c r="S138" s="10" t="inlineStr">
        <is>
          <t>My Money › Debt</t>
        </is>
      </c>
      <c r="T138" s="10" t="inlineStr">
        <is>
          <t>choice</t>
        </is>
      </c>
      <c r="U138" s="10" t="inlineStr"/>
      <c r="V138" s="33" t="inlineStr">
        <is>
          <t>5</t>
        </is>
      </c>
    </row>
    <row r="139">
      <c r="A139" s="32" t="inlineStr">
        <is>
          <t>F137</t>
        </is>
      </c>
      <c r="B139" s="32" t="inlineStr">
        <is>
          <t>Not started</t>
        </is>
      </c>
      <c r="C139" s="32" t="inlineStr">
        <is>
          <t>Session 1</t>
        </is>
      </c>
      <c r="D139" s="32" t="inlineStr">
        <is>
          <t>Debt</t>
        </is>
      </c>
      <c r="E139" s="32" t="inlineStr">
        <is>
          <t>Mortgage</t>
        </is>
      </c>
      <c r="F139" s="32" t="inlineStr">
        <is>
          <t>Years remaining</t>
        </is>
      </c>
      <c r="G139" s="32" t="inlineStr">
        <is>
          <t>Secondary</t>
        </is>
      </c>
      <c r="H139" s="32" t="inlineStr">
        <is>
          <t>Number</t>
        </is>
      </c>
      <c r="I139" s="32" t="inlineStr">
        <is>
          <t>Payoff date</t>
        </is>
      </c>
      <c r="J139" s="32" t="n"/>
      <c r="K139" s="32" t="inlineStr">
        <is>
          <t>Client</t>
        </is>
      </c>
      <c r="L139" s="32" t="inlineStr">
        <is>
          <t>Often</t>
        </is>
      </c>
      <c r="M139" s="32" t="inlineStr">
        <is>
          <t>All</t>
        </is>
      </c>
      <c r="N139" s="32" t="inlineStr">
        <is>
          <t>Medium</t>
        </is>
      </c>
      <c r="O139" s="32" t="inlineStr">
        <is>
          <t>Yes</t>
        </is>
      </c>
      <c r="P139" s="32" t="inlineStr">
        <is>
          <t>Now</t>
        </is>
      </c>
      <c r="Q139" s="32" t="n"/>
      <c r="S139" s="10" t="inlineStr">
        <is>
          <t>My Money › Debt</t>
        </is>
      </c>
      <c r="T139" s="10" t="inlineStr">
        <is>
          <t>whole number</t>
        </is>
      </c>
      <c r="U139" s="10" t="inlineStr"/>
      <c r="V139" s="33" t="inlineStr">
        <is>
          <t>5</t>
        </is>
      </c>
    </row>
    <row r="140">
      <c r="A140" s="32" t="inlineStr">
        <is>
          <t>F138</t>
        </is>
      </c>
      <c r="B140" s="32" t="inlineStr">
        <is>
          <t>Not started</t>
        </is>
      </c>
      <c r="C140" s="32" t="inlineStr">
        <is>
          <t>Session 1</t>
        </is>
      </c>
      <c r="D140" s="32" t="inlineStr">
        <is>
          <t>Debt</t>
        </is>
      </c>
      <c r="E140" s="32" t="inlineStr">
        <is>
          <t>Personal loan</t>
        </is>
      </c>
      <c r="F140" s="32" t="inlineStr">
        <is>
          <t>Name or lender</t>
        </is>
      </c>
      <c r="G140" s="32" t="inlineStr">
        <is>
          <t>Primary</t>
        </is>
      </c>
      <c r="H140" s="32" t="inlineStr">
        <is>
          <t>Text box</t>
        </is>
      </c>
      <c r="I140" s="32" t="inlineStr">
        <is>
          <t>Labels the row</t>
        </is>
      </c>
      <c r="J140" s="32" t="inlineStr">
        <is>
          <t>Add, duplicate, mark rough, not now</t>
        </is>
      </c>
      <c r="K140" s="32" t="inlineStr">
        <is>
          <t>Client</t>
        </is>
      </c>
      <c r="L140" s="32" t="n"/>
      <c r="M140" s="32" t="inlineStr">
        <is>
          <t>All</t>
        </is>
      </c>
      <c r="N140" s="32" t="inlineStr">
        <is>
          <t>Low</t>
        </is>
      </c>
      <c r="O140" s="32" t="inlineStr">
        <is>
          <t>Yes</t>
        </is>
      </c>
      <c r="P140" s="32" t="inlineStr">
        <is>
          <t>Now</t>
        </is>
      </c>
      <c r="Q140" s="32" t="n"/>
      <c r="S140" s="10" t="inlineStr">
        <is>
          <t>My Money › Debt</t>
        </is>
      </c>
      <c r="T140" s="10" t="inlineStr">
        <is>
          <t>text</t>
        </is>
      </c>
      <c r="U140" s="10" t="inlineStr"/>
      <c r="V140" s="33" t="inlineStr">
        <is>
          <t>5</t>
        </is>
      </c>
    </row>
    <row r="141">
      <c r="A141" s="32" t="inlineStr">
        <is>
          <t>F139</t>
        </is>
      </c>
      <c r="B141" s="32" t="inlineStr">
        <is>
          <t>Not started</t>
        </is>
      </c>
      <c r="C141" s="32" t="inlineStr">
        <is>
          <t>Session 1</t>
        </is>
      </c>
      <c r="D141" s="32" t="inlineStr">
        <is>
          <t>Debt</t>
        </is>
      </c>
      <c r="E141" s="32" t="inlineStr">
        <is>
          <t>Personal loan</t>
        </is>
      </c>
      <c r="F141" s="32" t="inlineStr">
        <is>
          <t>Balance</t>
        </is>
      </c>
      <c r="G141" s="32" t="inlineStr">
        <is>
          <t>Primary</t>
        </is>
      </c>
      <c r="H141" s="32" t="inlineStr">
        <is>
          <t>Amount</t>
        </is>
      </c>
      <c r="I141" s="32" t="inlineStr">
        <is>
          <t>Net worth, payoff, debt total</t>
        </is>
      </c>
      <c r="J141" s="32" t="inlineStr">
        <is>
          <t>Add, duplicate, mark rough, not now</t>
        </is>
      </c>
      <c r="K141" s="32" t="inlineStr">
        <is>
          <t>Client</t>
        </is>
      </c>
      <c r="L141" s="32" t="n"/>
      <c r="M141" s="32" t="inlineStr">
        <is>
          <t>All</t>
        </is>
      </c>
      <c r="N141" s="32" t="inlineStr">
        <is>
          <t>High</t>
        </is>
      </c>
      <c r="O141" s="32" t="inlineStr">
        <is>
          <t>Yes</t>
        </is>
      </c>
      <c r="P141" s="32" t="inlineStr">
        <is>
          <t>Now</t>
        </is>
      </c>
      <c r="Q141" s="32" t="n"/>
      <c r="S141" s="10" t="inlineStr">
        <is>
          <t>My Money › Debt</t>
        </is>
      </c>
      <c r="T141" s="10" t="inlineStr">
        <is>
          <t>money</t>
        </is>
      </c>
      <c r="U141" s="10" t="inlineStr"/>
      <c r="V141" s="33" t="inlineStr">
        <is>
          <t>5</t>
        </is>
      </c>
    </row>
    <row r="142">
      <c r="A142" s="32" t="inlineStr">
        <is>
          <t>F140</t>
        </is>
      </c>
      <c r="B142" s="32" t="inlineStr">
        <is>
          <t>Not started</t>
        </is>
      </c>
      <c r="C142" s="32" t="inlineStr">
        <is>
          <t>Session 1</t>
        </is>
      </c>
      <c r="D142" s="32" t="inlineStr">
        <is>
          <t>Debt</t>
        </is>
      </c>
      <c r="E142" s="32" t="inlineStr">
        <is>
          <t>Personal loan</t>
        </is>
      </c>
      <c r="F142" s="32" t="inlineStr">
        <is>
          <t>Interest rate (APR)</t>
        </is>
      </c>
      <c r="G142" s="32" t="inlineStr">
        <is>
          <t>Primary</t>
        </is>
      </c>
      <c r="H142" s="32" t="inlineStr">
        <is>
          <t>Percent with 'not sure' (fills typical rate, marked Rough)</t>
        </is>
      </c>
      <c r="I142" s="32" t="inlineStr">
        <is>
          <t>Payoff order, total interest</t>
        </is>
      </c>
      <c r="J142" s="32" t="inlineStr">
        <is>
          <t>Add, duplicate, mark rough, not now</t>
        </is>
      </c>
      <c r="K142" s="32" t="inlineStr">
        <is>
          <t>Client</t>
        </is>
      </c>
      <c r="L142" s="32" t="n"/>
      <c r="M142" s="32" t="inlineStr">
        <is>
          <t>All</t>
        </is>
      </c>
      <c r="N142" s="32" t="inlineStr">
        <is>
          <t>High</t>
        </is>
      </c>
      <c r="O142" s="32" t="inlineStr">
        <is>
          <t>Yes</t>
        </is>
      </c>
      <c r="P142" s="32" t="inlineStr">
        <is>
          <t>Now</t>
        </is>
      </c>
      <c r="Q142" s="32" t="n"/>
      <c r="S142" s="10" t="inlineStr">
        <is>
          <t>My Money › Debt</t>
        </is>
      </c>
      <c r="T142" s="10" t="inlineStr">
        <is>
          <t>percent</t>
        </is>
      </c>
      <c r="U142" s="10" t="inlineStr"/>
      <c r="V142" s="33" t="inlineStr">
        <is>
          <t>5</t>
        </is>
      </c>
    </row>
    <row r="143">
      <c r="A143" s="32" t="inlineStr">
        <is>
          <t>F141</t>
        </is>
      </c>
      <c r="B143" s="32" t="inlineStr">
        <is>
          <t>Not started</t>
        </is>
      </c>
      <c r="C143" s="32" t="inlineStr">
        <is>
          <t>Session 1</t>
        </is>
      </c>
      <c r="D143" s="32" t="inlineStr">
        <is>
          <t>Debt</t>
        </is>
      </c>
      <c r="E143" s="32" t="inlineStr">
        <is>
          <t>Personal loan</t>
        </is>
      </c>
      <c r="F143" s="32" t="inlineStr">
        <is>
          <t>Monthly payment</t>
        </is>
      </c>
      <c r="G143" s="32" t="inlineStr">
        <is>
          <t>Primary</t>
        </is>
      </c>
      <c r="H143" s="32" t="inlineStr">
        <is>
          <t>Amount</t>
        </is>
      </c>
      <c r="I143" s="32" t="inlineStr">
        <is>
          <t>Cash flow, payoff date</t>
        </is>
      </c>
      <c r="J143" s="32" t="inlineStr">
        <is>
          <t>Add, duplicate, mark rough, not now</t>
        </is>
      </c>
      <c r="K143" s="32" t="inlineStr">
        <is>
          <t>Client</t>
        </is>
      </c>
      <c r="L143" s="32" t="n"/>
      <c r="M143" s="32" t="inlineStr">
        <is>
          <t>All</t>
        </is>
      </c>
      <c r="N143" s="32" t="inlineStr">
        <is>
          <t>High</t>
        </is>
      </c>
      <c r="O143" s="32" t="inlineStr">
        <is>
          <t>Yes</t>
        </is>
      </c>
      <c r="P143" s="32" t="inlineStr">
        <is>
          <t>Now</t>
        </is>
      </c>
      <c r="Q143" s="32" t="n"/>
      <c r="S143" s="10" t="inlineStr">
        <is>
          <t>My Money › Debt</t>
        </is>
      </c>
      <c r="T143" s="10" t="inlineStr">
        <is>
          <t>money</t>
        </is>
      </c>
      <c r="U143" s="10" t="inlineStr"/>
      <c r="V143" s="33" t="inlineStr">
        <is>
          <t>5</t>
        </is>
      </c>
    </row>
    <row r="144">
      <c r="A144" s="32" t="inlineStr">
        <is>
          <t>F142</t>
        </is>
      </c>
      <c r="B144" s="32" t="inlineStr">
        <is>
          <t>Not started</t>
        </is>
      </c>
      <c r="C144" s="32" t="inlineStr">
        <is>
          <t>Session 1</t>
        </is>
      </c>
      <c r="D144" s="32" t="inlineStr">
        <is>
          <t>Debt</t>
        </is>
      </c>
      <c r="E144" s="32" t="inlineStr">
        <is>
          <t>Personal loan</t>
        </is>
      </c>
      <c r="F144" s="32" t="inlineStr">
        <is>
          <t>Months remaining</t>
        </is>
      </c>
      <c r="G144" s="32" t="inlineStr">
        <is>
          <t>Secondary</t>
        </is>
      </c>
      <c r="H144" s="32" t="inlineStr">
        <is>
          <t>Number</t>
        </is>
      </c>
      <c r="I144" s="32" t="inlineStr">
        <is>
          <t>Payoff date</t>
        </is>
      </c>
      <c r="J144" s="32" t="n"/>
      <c r="K144" s="32" t="inlineStr">
        <is>
          <t>Client</t>
        </is>
      </c>
      <c r="L144" s="32" t="inlineStr">
        <is>
          <t>Often</t>
        </is>
      </c>
      <c r="M144" s="32" t="inlineStr">
        <is>
          <t>All</t>
        </is>
      </c>
      <c r="N144" s="32" t="inlineStr">
        <is>
          <t>Medium</t>
        </is>
      </c>
      <c r="O144" s="32" t="inlineStr">
        <is>
          <t>Yes</t>
        </is>
      </c>
      <c r="P144" s="32" t="inlineStr">
        <is>
          <t>Now</t>
        </is>
      </c>
      <c r="Q144" s="32" t="n"/>
      <c r="S144" s="10" t="inlineStr">
        <is>
          <t>My Money › Debt</t>
        </is>
      </c>
      <c r="T144" s="10" t="inlineStr">
        <is>
          <t>whole number</t>
        </is>
      </c>
      <c r="U144" s="10" t="inlineStr"/>
      <c r="V144" s="33" t="inlineStr">
        <is>
          <t>5</t>
        </is>
      </c>
    </row>
    <row r="145">
      <c r="A145" s="32" t="inlineStr">
        <is>
          <t>F143</t>
        </is>
      </c>
      <c r="B145" s="32" t="inlineStr">
        <is>
          <t>Not started</t>
        </is>
      </c>
      <c r="C145" s="32" t="inlineStr">
        <is>
          <t>Session 1</t>
        </is>
      </c>
      <c r="D145" s="32" t="inlineStr">
        <is>
          <t>Debt</t>
        </is>
      </c>
      <c r="E145" s="32" t="inlineStr">
        <is>
          <t>Medical debt</t>
        </is>
      </c>
      <c r="F145" s="32" t="inlineStr">
        <is>
          <t>Name or lender</t>
        </is>
      </c>
      <c r="G145" s="32" t="inlineStr">
        <is>
          <t>Primary</t>
        </is>
      </c>
      <c r="H145" s="32" t="inlineStr">
        <is>
          <t>Text box</t>
        </is>
      </c>
      <c r="I145" s="32" t="inlineStr">
        <is>
          <t>Labels the row</t>
        </is>
      </c>
      <c r="J145" s="32" t="inlineStr">
        <is>
          <t>Add, duplicate, mark rough, not now</t>
        </is>
      </c>
      <c r="K145" s="32" t="inlineStr">
        <is>
          <t>Client</t>
        </is>
      </c>
      <c r="L145" s="32" t="n"/>
      <c r="M145" s="32" t="inlineStr">
        <is>
          <t>All</t>
        </is>
      </c>
      <c r="N145" s="32" t="inlineStr">
        <is>
          <t>Low</t>
        </is>
      </c>
      <c r="O145" s="32" t="inlineStr">
        <is>
          <t>Yes</t>
        </is>
      </c>
      <c r="P145" s="32" t="inlineStr">
        <is>
          <t>Now</t>
        </is>
      </c>
      <c r="Q145" s="32" t="n"/>
      <c r="S145" s="10" t="inlineStr">
        <is>
          <t>My Money › Debt</t>
        </is>
      </c>
      <c r="T145" s="10" t="inlineStr">
        <is>
          <t>text</t>
        </is>
      </c>
      <c r="U145" s="10" t="inlineStr"/>
      <c r="V145" s="33" t="inlineStr">
        <is>
          <t>5</t>
        </is>
      </c>
    </row>
    <row r="146">
      <c r="A146" s="32" t="inlineStr">
        <is>
          <t>F144</t>
        </is>
      </c>
      <c r="B146" s="32" t="inlineStr">
        <is>
          <t>Not started</t>
        </is>
      </c>
      <c r="C146" s="32" t="inlineStr">
        <is>
          <t>Session 1</t>
        </is>
      </c>
      <c r="D146" s="32" t="inlineStr">
        <is>
          <t>Debt</t>
        </is>
      </c>
      <c r="E146" s="32" t="inlineStr">
        <is>
          <t>Medical debt</t>
        </is>
      </c>
      <c r="F146" s="32" t="inlineStr">
        <is>
          <t>Balance</t>
        </is>
      </c>
      <c r="G146" s="32" t="inlineStr">
        <is>
          <t>Primary</t>
        </is>
      </c>
      <c r="H146" s="32" t="inlineStr">
        <is>
          <t>Amount</t>
        </is>
      </c>
      <c r="I146" s="32" t="inlineStr">
        <is>
          <t>Net worth, payoff, debt total</t>
        </is>
      </c>
      <c r="J146" s="32" t="inlineStr">
        <is>
          <t>Add, duplicate, mark rough, not now</t>
        </is>
      </c>
      <c r="K146" s="32" t="inlineStr">
        <is>
          <t>Client</t>
        </is>
      </c>
      <c r="L146" s="32" t="n"/>
      <c r="M146" s="32" t="inlineStr">
        <is>
          <t>All</t>
        </is>
      </c>
      <c r="N146" s="32" t="inlineStr">
        <is>
          <t>High</t>
        </is>
      </c>
      <c r="O146" s="32" t="inlineStr">
        <is>
          <t>Yes</t>
        </is>
      </c>
      <c r="P146" s="32" t="inlineStr">
        <is>
          <t>Now</t>
        </is>
      </c>
      <c r="Q146" s="32" t="inlineStr">
        <is>
          <t>Often 0% and negotiable</t>
        </is>
      </c>
      <c r="S146" s="10" t="inlineStr">
        <is>
          <t>My Money › Debt</t>
        </is>
      </c>
      <c r="T146" s="10" t="inlineStr">
        <is>
          <t>money</t>
        </is>
      </c>
      <c r="U146" s="10" t="inlineStr"/>
      <c r="V146" s="33" t="inlineStr">
        <is>
          <t>5</t>
        </is>
      </c>
    </row>
    <row r="147">
      <c r="A147" s="32" t="inlineStr">
        <is>
          <t>F145</t>
        </is>
      </c>
      <c r="B147" s="32" t="inlineStr">
        <is>
          <t>Not started</t>
        </is>
      </c>
      <c r="C147" s="32" t="inlineStr">
        <is>
          <t>Session 1</t>
        </is>
      </c>
      <c r="D147" s="32" t="inlineStr">
        <is>
          <t>Debt</t>
        </is>
      </c>
      <c r="E147" s="32" t="inlineStr">
        <is>
          <t>Medical debt</t>
        </is>
      </c>
      <c r="F147" s="32" t="inlineStr">
        <is>
          <t>Interest rate (APR)</t>
        </is>
      </c>
      <c r="G147" s="32" t="inlineStr">
        <is>
          <t>Primary</t>
        </is>
      </c>
      <c r="H147" s="32" t="inlineStr">
        <is>
          <t>Percent with 'not sure' (fills typical rate, marked Rough)</t>
        </is>
      </c>
      <c r="I147" s="32" t="inlineStr">
        <is>
          <t>Payoff order, total interest</t>
        </is>
      </c>
      <c r="J147" s="32" t="inlineStr">
        <is>
          <t>Add, duplicate, mark rough, not now</t>
        </is>
      </c>
      <c r="K147" s="32" t="inlineStr">
        <is>
          <t>Client</t>
        </is>
      </c>
      <c r="L147" s="32" t="n"/>
      <c r="M147" s="32" t="inlineStr">
        <is>
          <t>All</t>
        </is>
      </c>
      <c r="N147" s="32" t="inlineStr">
        <is>
          <t>High</t>
        </is>
      </c>
      <c r="O147" s="32" t="inlineStr">
        <is>
          <t>Yes</t>
        </is>
      </c>
      <c r="P147" s="32" t="inlineStr">
        <is>
          <t>Now</t>
        </is>
      </c>
      <c r="Q147" s="32" t="n"/>
      <c r="S147" s="10" t="inlineStr">
        <is>
          <t>My Money › Debt</t>
        </is>
      </c>
      <c r="T147" s="10" t="inlineStr">
        <is>
          <t>percent</t>
        </is>
      </c>
      <c r="U147" s="10" t="inlineStr"/>
      <c r="V147" s="33" t="inlineStr">
        <is>
          <t>5</t>
        </is>
      </c>
    </row>
    <row r="148">
      <c r="A148" s="32" t="inlineStr">
        <is>
          <t>F146</t>
        </is>
      </c>
      <c r="B148" s="32" t="inlineStr">
        <is>
          <t>Not started</t>
        </is>
      </c>
      <c r="C148" s="32" t="inlineStr">
        <is>
          <t>Session 1</t>
        </is>
      </c>
      <c r="D148" s="32" t="inlineStr">
        <is>
          <t>Debt</t>
        </is>
      </c>
      <c r="E148" s="32" t="inlineStr">
        <is>
          <t>Medical debt</t>
        </is>
      </c>
      <c r="F148" s="32" t="inlineStr">
        <is>
          <t>Monthly payment</t>
        </is>
      </c>
      <c r="G148" s="32" t="inlineStr">
        <is>
          <t>Primary</t>
        </is>
      </c>
      <c r="H148" s="32" t="inlineStr">
        <is>
          <t>Amount</t>
        </is>
      </c>
      <c r="I148" s="32" t="inlineStr">
        <is>
          <t>Cash flow, payoff date</t>
        </is>
      </c>
      <c r="J148" s="32" t="inlineStr">
        <is>
          <t>Add, duplicate, mark rough, not now</t>
        </is>
      </c>
      <c r="K148" s="32" t="inlineStr">
        <is>
          <t>Client</t>
        </is>
      </c>
      <c r="L148" s="32" t="n"/>
      <c r="M148" s="32" t="inlineStr">
        <is>
          <t>All</t>
        </is>
      </c>
      <c r="N148" s="32" t="inlineStr">
        <is>
          <t>High</t>
        </is>
      </c>
      <c r="O148" s="32" t="inlineStr">
        <is>
          <t>Yes</t>
        </is>
      </c>
      <c r="P148" s="32" t="inlineStr">
        <is>
          <t>Now</t>
        </is>
      </c>
      <c r="Q148" s="32" t="n"/>
      <c r="S148" s="10" t="inlineStr">
        <is>
          <t>My Money › Debt</t>
        </is>
      </c>
      <c r="T148" s="10" t="inlineStr">
        <is>
          <t>money</t>
        </is>
      </c>
      <c r="U148" s="10" t="inlineStr"/>
      <c r="V148" s="33" t="inlineStr">
        <is>
          <t>5</t>
        </is>
      </c>
    </row>
    <row r="149">
      <c r="A149" s="32" t="inlineStr">
        <is>
          <t>F147</t>
        </is>
      </c>
      <c r="B149" s="32" t="inlineStr">
        <is>
          <t>Not started</t>
        </is>
      </c>
      <c r="C149" s="32" t="inlineStr">
        <is>
          <t>Session 1</t>
        </is>
      </c>
      <c r="D149" s="32" t="inlineStr">
        <is>
          <t>Debt</t>
        </is>
      </c>
      <c r="E149" s="32" t="inlineStr">
        <is>
          <t>Medical debt</t>
        </is>
      </c>
      <c r="F149" s="32" t="inlineStr">
        <is>
          <t>In collections</t>
        </is>
      </c>
      <c r="G149" s="32" t="inlineStr">
        <is>
          <t>Secondary</t>
        </is>
      </c>
      <c r="H149" s="32" t="inlineStr">
        <is>
          <t>Yes or no</t>
        </is>
      </c>
      <c r="I149" s="32" t="inlineStr">
        <is>
          <t>Negotiation priority</t>
        </is>
      </c>
      <c r="J149" s="32" t="n"/>
      <c r="K149" s="32" t="inlineStr">
        <is>
          <t>Client</t>
        </is>
      </c>
      <c r="L149" s="32" t="inlineStr">
        <is>
          <t>Often</t>
        </is>
      </c>
      <c r="M149" s="32" t="inlineStr">
        <is>
          <t>All</t>
        </is>
      </c>
      <c r="N149" s="32" t="inlineStr">
        <is>
          <t>Medium</t>
        </is>
      </c>
      <c r="O149" s="32" t="inlineStr">
        <is>
          <t>Yes</t>
        </is>
      </c>
      <c r="P149" s="32" t="inlineStr">
        <is>
          <t>Now</t>
        </is>
      </c>
      <c r="Q149" s="32" t="n"/>
      <c r="S149" s="10" t="inlineStr">
        <is>
          <t>My Money › Debt</t>
        </is>
      </c>
      <c r="T149" s="10" t="inlineStr">
        <is>
          <t>choice</t>
        </is>
      </c>
      <c r="U149" s="10" t="inlineStr">
        <is>
          <t>Yes, No, Not sure</t>
        </is>
      </c>
      <c r="V149" s="33" t="inlineStr">
        <is>
          <t>5</t>
        </is>
      </c>
    </row>
    <row r="150">
      <c r="A150" s="32" t="inlineStr">
        <is>
          <t>F148</t>
        </is>
      </c>
      <c r="B150" s="32" t="inlineStr">
        <is>
          <t>Not started</t>
        </is>
      </c>
      <c r="C150" s="32" t="inlineStr">
        <is>
          <t>Session 1</t>
        </is>
      </c>
      <c r="D150" s="32" t="inlineStr">
        <is>
          <t>Debt</t>
        </is>
      </c>
      <c r="E150" s="32" t="inlineStr">
        <is>
          <t>Family or friend loan</t>
        </is>
      </c>
      <c r="F150" s="32" t="inlineStr">
        <is>
          <t>Name or lender</t>
        </is>
      </c>
      <c r="G150" s="32" t="inlineStr">
        <is>
          <t>Primary</t>
        </is>
      </c>
      <c r="H150" s="32" t="inlineStr">
        <is>
          <t>Text box</t>
        </is>
      </c>
      <c r="I150" s="32" t="inlineStr">
        <is>
          <t>Labels the row</t>
        </is>
      </c>
      <c r="J150" s="32" t="inlineStr">
        <is>
          <t>Add, duplicate, mark rough, not now</t>
        </is>
      </c>
      <c r="K150" s="32" t="inlineStr">
        <is>
          <t>Client</t>
        </is>
      </c>
      <c r="L150" s="32" t="n"/>
      <c r="M150" s="32" t="inlineStr">
        <is>
          <t>All</t>
        </is>
      </c>
      <c r="N150" s="32" t="inlineStr">
        <is>
          <t>Low</t>
        </is>
      </c>
      <c r="O150" s="32" t="inlineStr">
        <is>
          <t>Yes</t>
        </is>
      </c>
      <c r="P150" s="32" t="inlineStr">
        <is>
          <t>Now</t>
        </is>
      </c>
      <c r="Q150" s="32" t="n"/>
      <c r="S150" s="10" t="inlineStr">
        <is>
          <t>My Money › Debt</t>
        </is>
      </c>
      <c r="T150" s="10" t="inlineStr">
        <is>
          <t>text</t>
        </is>
      </c>
      <c r="U150" s="10" t="inlineStr"/>
      <c r="V150" s="33" t="inlineStr">
        <is>
          <t>5</t>
        </is>
      </c>
    </row>
    <row r="151">
      <c r="A151" s="32" t="inlineStr">
        <is>
          <t>F149</t>
        </is>
      </c>
      <c r="B151" s="32" t="inlineStr">
        <is>
          <t>Not started</t>
        </is>
      </c>
      <c r="C151" s="32" t="inlineStr">
        <is>
          <t>Session 1</t>
        </is>
      </c>
      <c r="D151" s="32" t="inlineStr">
        <is>
          <t>Debt</t>
        </is>
      </c>
      <c r="E151" s="32" t="inlineStr">
        <is>
          <t>Family or friend loan</t>
        </is>
      </c>
      <c r="F151" s="32" t="inlineStr">
        <is>
          <t>Balance</t>
        </is>
      </c>
      <c r="G151" s="32" t="inlineStr">
        <is>
          <t>Primary</t>
        </is>
      </c>
      <c r="H151" s="32" t="inlineStr">
        <is>
          <t>Amount</t>
        </is>
      </c>
      <c r="I151" s="32" t="inlineStr">
        <is>
          <t>Net worth, payoff, debt total</t>
        </is>
      </c>
      <c r="J151" s="32" t="inlineStr">
        <is>
          <t>Add, duplicate, mark rough, not now</t>
        </is>
      </c>
      <c r="K151" s="32" t="inlineStr">
        <is>
          <t>Client</t>
        </is>
      </c>
      <c r="L151" s="32" t="n"/>
      <c r="M151" s="32" t="inlineStr">
        <is>
          <t>All</t>
        </is>
      </c>
      <c r="N151" s="32" t="inlineStr">
        <is>
          <t>High</t>
        </is>
      </c>
      <c r="O151" s="32" t="inlineStr">
        <is>
          <t>Yes</t>
        </is>
      </c>
      <c r="P151" s="32" t="inlineStr">
        <is>
          <t>Now</t>
        </is>
      </c>
      <c r="Q151" s="32" t="inlineStr">
        <is>
          <t>Stress rating matters most here</t>
        </is>
      </c>
      <c r="S151" s="10" t="inlineStr">
        <is>
          <t>My Money › Debt</t>
        </is>
      </c>
      <c r="T151" s="10" t="inlineStr">
        <is>
          <t>money</t>
        </is>
      </c>
      <c r="U151" s="10" t="inlineStr"/>
      <c r="V151" s="33" t="inlineStr">
        <is>
          <t>5</t>
        </is>
      </c>
    </row>
    <row r="152">
      <c r="A152" s="32" t="inlineStr">
        <is>
          <t>F150</t>
        </is>
      </c>
      <c r="B152" s="32" t="inlineStr">
        <is>
          <t>Not started</t>
        </is>
      </c>
      <c r="C152" s="32" t="inlineStr">
        <is>
          <t>Session 1</t>
        </is>
      </c>
      <c r="D152" s="32" t="inlineStr">
        <is>
          <t>Debt</t>
        </is>
      </c>
      <c r="E152" s="32" t="inlineStr">
        <is>
          <t>Family or friend loan</t>
        </is>
      </c>
      <c r="F152" s="32" t="inlineStr">
        <is>
          <t>Interest rate (APR)</t>
        </is>
      </c>
      <c r="G152" s="32" t="inlineStr">
        <is>
          <t>Primary</t>
        </is>
      </c>
      <c r="H152" s="32" t="inlineStr">
        <is>
          <t>Percent with 'not sure' (fills typical rate, marked Rough)</t>
        </is>
      </c>
      <c r="I152" s="32" t="inlineStr">
        <is>
          <t>Payoff order, total interest</t>
        </is>
      </c>
      <c r="J152" s="32" t="inlineStr">
        <is>
          <t>Add, duplicate, mark rough, not now</t>
        </is>
      </c>
      <c r="K152" s="32" t="inlineStr">
        <is>
          <t>Client</t>
        </is>
      </c>
      <c r="L152" s="32" t="n"/>
      <c r="M152" s="32" t="inlineStr">
        <is>
          <t>All</t>
        </is>
      </c>
      <c r="N152" s="32" t="inlineStr">
        <is>
          <t>High</t>
        </is>
      </c>
      <c r="O152" s="32" t="inlineStr">
        <is>
          <t>Yes</t>
        </is>
      </c>
      <c r="P152" s="32" t="inlineStr">
        <is>
          <t>Now</t>
        </is>
      </c>
      <c r="Q152" s="32" t="n"/>
      <c r="S152" s="10" t="inlineStr">
        <is>
          <t>My Money › Debt</t>
        </is>
      </c>
      <c r="T152" s="10" t="inlineStr">
        <is>
          <t>percent</t>
        </is>
      </c>
      <c r="U152" s="10" t="inlineStr"/>
      <c r="V152" s="33" t="inlineStr">
        <is>
          <t>5</t>
        </is>
      </c>
    </row>
    <row r="153">
      <c r="A153" s="32" t="inlineStr">
        <is>
          <t>F151</t>
        </is>
      </c>
      <c r="B153" s="32" t="inlineStr">
        <is>
          <t>Not started</t>
        </is>
      </c>
      <c r="C153" s="32" t="inlineStr">
        <is>
          <t>Session 1</t>
        </is>
      </c>
      <c r="D153" s="32" t="inlineStr">
        <is>
          <t>Debt</t>
        </is>
      </c>
      <c r="E153" s="32" t="inlineStr">
        <is>
          <t>Family or friend loan</t>
        </is>
      </c>
      <c r="F153" s="32" t="inlineStr">
        <is>
          <t>Monthly payment</t>
        </is>
      </c>
      <c r="G153" s="32" t="inlineStr">
        <is>
          <t>Primary</t>
        </is>
      </c>
      <c r="H153" s="32" t="inlineStr">
        <is>
          <t>Amount</t>
        </is>
      </c>
      <c r="I153" s="32" t="inlineStr">
        <is>
          <t>Cash flow, payoff date</t>
        </is>
      </c>
      <c r="J153" s="32" t="inlineStr">
        <is>
          <t>Add, duplicate, mark rough, not now</t>
        </is>
      </c>
      <c r="K153" s="32" t="inlineStr">
        <is>
          <t>Client</t>
        </is>
      </c>
      <c r="L153" s="32" t="n"/>
      <c r="M153" s="32" t="inlineStr">
        <is>
          <t>All</t>
        </is>
      </c>
      <c r="N153" s="32" t="inlineStr">
        <is>
          <t>High</t>
        </is>
      </c>
      <c r="O153" s="32" t="inlineStr">
        <is>
          <t>Yes</t>
        </is>
      </c>
      <c r="P153" s="32" t="inlineStr">
        <is>
          <t>Now</t>
        </is>
      </c>
      <c r="Q153" s="32" t="n"/>
      <c r="S153" s="10" t="inlineStr">
        <is>
          <t>My Money › Debt</t>
        </is>
      </c>
      <c r="T153" s="10" t="inlineStr">
        <is>
          <t>money</t>
        </is>
      </c>
      <c r="U153" s="10" t="inlineStr"/>
      <c r="V153" s="33" t="inlineStr">
        <is>
          <t>5</t>
        </is>
      </c>
    </row>
    <row r="154">
      <c r="A154" s="32" t="inlineStr">
        <is>
          <t>F152</t>
        </is>
      </c>
      <c r="B154" s="32" t="inlineStr">
        <is>
          <t>Not started</t>
        </is>
      </c>
      <c r="C154" s="32" t="inlineStr">
        <is>
          <t>Session 1</t>
        </is>
      </c>
      <c r="D154" s="32" t="inlineStr">
        <is>
          <t>Debt</t>
        </is>
      </c>
      <c r="E154" s="32" t="inlineStr">
        <is>
          <t>Family or friend loan</t>
        </is>
      </c>
      <c r="F154" s="32" t="inlineStr">
        <is>
          <t>Terms agreed</t>
        </is>
      </c>
      <c r="G154" s="32" t="inlineStr">
        <is>
          <t>Secondary</t>
        </is>
      </c>
      <c r="H154" s="32" t="inlineStr">
        <is>
          <t>Text box</t>
        </is>
      </c>
      <c r="I154" s="32" t="inlineStr">
        <is>
          <t>Relationship context</t>
        </is>
      </c>
      <c r="J154" s="32" t="n"/>
      <c r="K154" s="32" t="inlineStr">
        <is>
          <t>Client</t>
        </is>
      </c>
      <c r="L154" s="32" t="inlineStr">
        <is>
          <t>Often</t>
        </is>
      </c>
      <c r="M154" s="32" t="inlineStr">
        <is>
          <t>All</t>
        </is>
      </c>
      <c r="N154" s="32" t="inlineStr">
        <is>
          <t>Low</t>
        </is>
      </c>
      <c r="O154" s="32" t="inlineStr">
        <is>
          <t>Yes</t>
        </is>
      </c>
      <c r="P154" s="32" t="inlineStr">
        <is>
          <t>Now</t>
        </is>
      </c>
      <c r="Q154" s="32" t="n"/>
      <c r="S154" s="10" t="inlineStr">
        <is>
          <t>My Money › Debt</t>
        </is>
      </c>
      <c r="T154" s="10" t="inlineStr">
        <is>
          <t>text</t>
        </is>
      </c>
      <c r="U154" s="10" t="inlineStr"/>
      <c r="V154" s="33" t="inlineStr">
        <is>
          <t>5</t>
        </is>
      </c>
    </row>
    <row r="155">
      <c r="A155" s="32" t="inlineStr">
        <is>
          <t>F153</t>
        </is>
      </c>
      <c r="B155" s="32" t="inlineStr">
        <is>
          <t>Not started</t>
        </is>
      </c>
      <c r="C155" s="32" t="inlineStr">
        <is>
          <t>Session 1</t>
        </is>
      </c>
      <c r="D155" s="32" t="inlineStr">
        <is>
          <t>Debt</t>
        </is>
      </c>
      <c r="E155" s="32" t="inlineStr">
        <is>
          <t>Buy now, pay later</t>
        </is>
      </c>
      <c r="F155" s="32" t="inlineStr">
        <is>
          <t>Name or lender</t>
        </is>
      </c>
      <c r="G155" s="32" t="inlineStr">
        <is>
          <t>Primary</t>
        </is>
      </c>
      <c r="H155" s="32" t="inlineStr">
        <is>
          <t>Text box</t>
        </is>
      </c>
      <c r="I155" s="32" t="inlineStr">
        <is>
          <t>Labels the row</t>
        </is>
      </c>
      <c r="J155" s="32" t="inlineStr">
        <is>
          <t>Add, duplicate, mark rough, not now</t>
        </is>
      </c>
      <c r="K155" s="32" t="inlineStr">
        <is>
          <t>Client</t>
        </is>
      </c>
      <c r="L155" s="32" t="n"/>
      <c r="M155" s="32" t="inlineStr">
        <is>
          <t>All</t>
        </is>
      </c>
      <c r="N155" s="32" t="inlineStr">
        <is>
          <t>Low</t>
        </is>
      </c>
      <c r="O155" s="32" t="inlineStr">
        <is>
          <t>Yes</t>
        </is>
      </c>
      <c r="P155" s="32" t="inlineStr">
        <is>
          <t>Now</t>
        </is>
      </c>
      <c r="Q155" s="32" t="n"/>
      <c r="S155" s="10" t="inlineStr">
        <is>
          <t>My Money › Debt</t>
        </is>
      </c>
      <c r="T155" s="10" t="inlineStr">
        <is>
          <t>text</t>
        </is>
      </c>
      <c r="U155" s="10" t="inlineStr"/>
      <c r="V155" s="33" t="inlineStr">
        <is>
          <t>5</t>
        </is>
      </c>
    </row>
    <row r="156">
      <c r="A156" s="32" t="inlineStr">
        <is>
          <t>F154</t>
        </is>
      </c>
      <c r="B156" s="32" t="inlineStr">
        <is>
          <t>Not started</t>
        </is>
      </c>
      <c r="C156" s="32" t="inlineStr">
        <is>
          <t>Session 1</t>
        </is>
      </c>
      <c r="D156" s="32" t="inlineStr">
        <is>
          <t>Debt</t>
        </is>
      </c>
      <c r="E156" s="32" t="inlineStr">
        <is>
          <t>Buy now, pay later</t>
        </is>
      </c>
      <c r="F156" s="32" t="inlineStr">
        <is>
          <t>Balance</t>
        </is>
      </c>
      <c r="G156" s="32" t="inlineStr">
        <is>
          <t>Primary</t>
        </is>
      </c>
      <c r="H156" s="32" t="inlineStr">
        <is>
          <t>Amount</t>
        </is>
      </c>
      <c r="I156" s="32" t="inlineStr">
        <is>
          <t>Net worth, payoff, debt total</t>
        </is>
      </c>
      <c r="J156" s="32" t="inlineStr">
        <is>
          <t>Add, duplicate, mark rough, not now</t>
        </is>
      </c>
      <c r="K156" s="32" t="inlineStr">
        <is>
          <t>Client</t>
        </is>
      </c>
      <c r="L156" s="32" t="n"/>
      <c r="M156" s="32" t="inlineStr">
        <is>
          <t>All</t>
        </is>
      </c>
      <c r="N156" s="32" t="inlineStr">
        <is>
          <t>High</t>
        </is>
      </c>
      <c r="O156" s="32" t="inlineStr">
        <is>
          <t>Yes</t>
        </is>
      </c>
      <c r="P156" s="32" t="inlineStr">
        <is>
          <t>Now</t>
        </is>
      </c>
      <c r="Q156" s="32" t="n"/>
      <c r="S156" s="10" t="inlineStr">
        <is>
          <t>My Money › Debt</t>
        </is>
      </c>
      <c r="T156" s="10" t="inlineStr">
        <is>
          <t>money</t>
        </is>
      </c>
      <c r="U156" s="10" t="inlineStr"/>
      <c r="V156" s="33" t="inlineStr">
        <is>
          <t>5</t>
        </is>
      </c>
    </row>
    <row r="157">
      <c r="A157" s="32" t="inlineStr">
        <is>
          <t>F155</t>
        </is>
      </c>
      <c r="B157" s="32" t="inlineStr">
        <is>
          <t>Not started</t>
        </is>
      </c>
      <c r="C157" s="32" t="inlineStr">
        <is>
          <t>Session 1</t>
        </is>
      </c>
      <c r="D157" s="32" t="inlineStr">
        <is>
          <t>Debt</t>
        </is>
      </c>
      <c r="E157" s="32" t="inlineStr">
        <is>
          <t>Buy now, pay later</t>
        </is>
      </c>
      <c r="F157" s="32" t="inlineStr">
        <is>
          <t>Interest rate (APR)</t>
        </is>
      </c>
      <c r="G157" s="32" t="inlineStr">
        <is>
          <t>Primary</t>
        </is>
      </c>
      <c r="H157" s="32" t="inlineStr">
        <is>
          <t>Percent with 'not sure' (fills typical rate, marked Rough)</t>
        </is>
      </c>
      <c r="I157" s="32" t="inlineStr">
        <is>
          <t>Payoff order, total interest</t>
        </is>
      </c>
      <c r="J157" s="32" t="inlineStr">
        <is>
          <t>Add, duplicate, mark rough, not now</t>
        </is>
      </c>
      <c r="K157" s="32" t="inlineStr">
        <is>
          <t>Client</t>
        </is>
      </c>
      <c r="L157" s="32" t="n"/>
      <c r="M157" s="32" t="inlineStr">
        <is>
          <t>All</t>
        </is>
      </c>
      <c r="N157" s="32" t="inlineStr">
        <is>
          <t>High</t>
        </is>
      </c>
      <c r="O157" s="32" t="inlineStr">
        <is>
          <t>Yes</t>
        </is>
      </c>
      <c r="P157" s="32" t="inlineStr">
        <is>
          <t>Now</t>
        </is>
      </c>
      <c r="Q157" s="32" t="n"/>
      <c r="S157" s="10" t="inlineStr">
        <is>
          <t>My Money › Debt</t>
        </is>
      </c>
      <c r="T157" s="10" t="inlineStr">
        <is>
          <t>percent</t>
        </is>
      </c>
      <c r="U157" s="10" t="inlineStr"/>
      <c r="V157" s="33" t="inlineStr">
        <is>
          <t>5</t>
        </is>
      </c>
    </row>
    <row r="158">
      <c r="A158" s="32" t="inlineStr">
        <is>
          <t>F156</t>
        </is>
      </c>
      <c r="B158" s="32" t="inlineStr">
        <is>
          <t>Not started</t>
        </is>
      </c>
      <c r="C158" s="32" t="inlineStr">
        <is>
          <t>Session 1</t>
        </is>
      </c>
      <c r="D158" s="32" t="inlineStr">
        <is>
          <t>Debt</t>
        </is>
      </c>
      <c r="E158" s="32" t="inlineStr">
        <is>
          <t>Buy now, pay later</t>
        </is>
      </c>
      <c r="F158" s="32" t="inlineStr">
        <is>
          <t>Monthly payment</t>
        </is>
      </c>
      <c r="G158" s="32" t="inlineStr">
        <is>
          <t>Primary</t>
        </is>
      </c>
      <c r="H158" s="32" t="inlineStr">
        <is>
          <t>Amount</t>
        </is>
      </c>
      <c r="I158" s="32" t="inlineStr">
        <is>
          <t>Cash flow, payoff date</t>
        </is>
      </c>
      <c r="J158" s="32" t="inlineStr">
        <is>
          <t>Add, duplicate, mark rough, not now</t>
        </is>
      </c>
      <c r="K158" s="32" t="inlineStr">
        <is>
          <t>Client</t>
        </is>
      </c>
      <c r="L158" s="32" t="n"/>
      <c r="M158" s="32" t="inlineStr">
        <is>
          <t>All</t>
        </is>
      </c>
      <c r="N158" s="32" t="inlineStr">
        <is>
          <t>High</t>
        </is>
      </c>
      <c r="O158" s="32" t="inlineStr">
        <is>
          <t>Yes</t>
        </is>
      </c>
      <c r="P158" s="32" t="inlineStr">
        <is>
          <t>Now</t>
        </is>
      </c>
      <c r="Q158" s="32" t="n"/>
      <c r="S158" s="10" t="inlineStr">
        <is>
          <t>My Money › Debt</t>
        </is>
      </c>
      <c r="T158" s="10" t="inlineStr">
        <is>
          <t>money</t>
        </is>
      </c>
      <c r="U158" s="10" t="inlineStr"/>
      <c r="V158" s="33" t="inlineStr">
        <is>
          <t>5</t>
        </is>
      </c>
    </row>
    <row r="159">
      <c r="A159" s="32" t="inlineStr">
        <is>
          <t>F157</t>
        </is>
      </c>
      <c r="B159" s="32" t="inlineStr">
        <is>
          <t>Not started</t>
        </is>
      </c>
      <c r="C159" s="32" t="inlineStr">
        <is>
          <t>Session 1</t>
        </is>
      </c>
      <c r="D159" s="32" t="inlineStr">
        <is>
          <t>Debt</t>
        </is>
      </c>
      <c r="E159" s="32" t="inlineStr">
        <is>
          <t>Buy now, pay later</t>
        </is>
      </c>
      <c r="F159" s="32" t="inlineStr">
        <is>
          <t>Payments left</t>
        </is>
      </c>
      <c r="G159" s="32" t="inlineStr">
        <is>
          <t>Secondary</t>
        </is>
      </c>
      <c r="H159" s="32" t="inlineStr">
        <is>
          <t>Number</t>
        </is>
      </c>
      <c r="I159" s="32" t="inlineStr">
        <is>
          <t>Payoff date</t>
        </is>
      </c>
      <c r="J159" s="32" t="n"/>
      <c r="K159" s="32" t="inlineStr">
        <is>
          <t>Client</t>
        </is>
      </c>
      <c r="L159" s="32" t="inlineStr">
        <is>
          <t>Often</t>
        </is>
      </c>
      <c r="M159" s="32" t="inlineStr">
        <is>
          <t>All</t>
        </is>
      </c>
      <c r="N159" s="32" t="inlineStr">
        <is>
          <t>Low</t>
        </is>
      </c>
      <c r="O159" s="32" t="inlineStr">
        <is>
          <t>Yes</t>
        </is>
      </c>
      <c r="P159" s="32" t="inlineStr">
        <is>
          <t>Now</t>
        </is>
      </c>
      <c r="Q159" s="32" t="n"/>
      <c r="S159" s="10" t="inlineStr">
        <is>
          <t>My Money › Debt</t>
        </is>
      </c>
      <c r="T159" s="10" t="inlineStr">
        <is>
          <t>whole number</t>
        </is>
      </c>
      <c r="U159" s="10" t="inlineStr"/>
      <c r="V159" s="33" t="inlineStr">
        <is>
          <t>5</t>
        </is>
      </c>
    </row>
    <row r="160">
      <c r="A160" s="32" t="inlineStr">
        <is>
          <t>F158</t>
        </is>
      </c>
      <c r="B160" s="32" t="inlineStr">
        <is>
          <t>Not started</t>
        </is>
      </c>
      <c r="C160" s="32" t="inlineStr">
        <is>
          <t>Session 1</t>
        </is>
      </c>
      <c r="D160" s="32" t="inlineStr">
        <is>
          <t>Debt</t>
        </is>
      </c>
      <c r="E160" s="32" t="inlineStr">
        <is>
          <t>Payday or cash advance</t>
        </is>
      </c>
      <c r="F160" s="32" t="inlineStr">
        <is>
          <t>Name or lender</t>
        </is>
      </c>
      <c r="G160" s="32" t="inlineStr">
        <is>
          <t>Primary</t>
        </is>
      </c>
      <c r="H160" s="32" t="inlineStr">
        <is>
          <t>Text box</t>
        </is>
      </c>
      <c r="I160" s="32" t="inlineStr">
        <is>
          <t>Labels the row</t>
        </is>
      </c>
      <c r="J160" s="32" t="inlineStr">
        <is>
          <t>Add, duplicate, mark rough, not now</t>
        </is>
      </c>
      <c r="K160" s="32" t="inlineStr">
        <is>
          <t>Client</t>
        </is>
      </c>
      <c r="L160" s="32" t="n"/>
      <c r="M160" s="32" t="inlineStr">
        <is>
          <t>All</t>
        </is>
      </c>
      <c r="N160" s="32" t="inlineStr">
        <is>
          <t>Low</t>
        </is>
      </c>
      <c r="O160" s="32" t="inlineStr">
        <is>
          <t>Yes</t>
        </is>
      </c>
      <c r="P160" s="32" t="inlineStr">
        <is>
          <t>Now</t>
        </is>
      </c>
      <c r="Q160" s="32" t="n"/>
      <c r="S160" s="10" t="inlineStr">
        <is>
          <t>My Money › Debt</t>
        </is>
      </c>
      <c r="T160" s="10" t="inlineStr">
        <is>
          <t>text</t>
        </is>
      </c>
      <c r="U160" s="10" t="inlineStr"/>
      <c r="V160" s="33" t="inlineStr">
        <is>
          <t>5</t>
        </is>
      </c>
    </row>
    <row r="161">
      <c r="A161" s="32" t="inlineStr">
        <is>
          <t>F159</t>
        </is>
      </c>
      <c r="B161" s="32" t="inlineStr">
        <is>
          <t>Not started</t>
        </is>
      </c>
      <c r="C161" s="32" t="inlineStr">
        <is>
          <t>Session 1</t>
        </is>
      </c>
      <c r="D161" s="32" t="inlineStr">
        <is>
          <t>Debt</t>
        </is>
      </c>
      <c r="E161" s="32" t="inlineStr">
        <is>
          <t>Payday or cash advance</t>
        </is>
      </c>
      <c r="F161" s="32" t="inlineStr">
        <is>
          <t>Balance</t>
        </is>
      </c>
      <c r="G161" s="32" t="inlineStr">
        <is>
          <t>Primary</t>
        </is>
      </c>
      <c r="H161" s="32" t="inlineStr">
        <is>
          <t>Amount</t>
        </is>
      </c>
      <c r="I161" s="32" t="inlineStr">
        <is>
          <t>Net worth, payoff, debt total</t>
        </is>
      </c>
      <c r="J161" s="32" t="inlineStr">
        <is>
          <t>Add, duplicate, mark rough, not now</t>
        </is>
      </c>
      <c r="K161" s="32" t="inlineStr">
        <is>
          <t>Client</t>
        </is>
      </c>
      <c r="L161" s="32" t="n"/>
      <c r="M161" s="32" t="inlineStr">
        <is>
          <t>All</t>
        </is>
      </c>
      <c r="N161" s="32" t="inlineStr">
        <is>
          <t>High</t>
        </is>
      </c>
      <c r="O161" s="32" t="inlineStr">
        <is>
          <t>Yes</t>
        </is>
      </c>
      <c r="P161" s="32" t="inlineStr">
        <is>
          <t>Now</t>
        </is>
      </c>
      <c r="Q161" s="32" t="inlineStr">
        <is>
          <t>Debt-management specialty</t>
        </is>
      </c>
      <c r="S161" s="10" t="inlineStr">
        <is>
          <t>My Money › Debt</t>
        </is>
      </c>
      <c r="T161" s="10" t="inlineStr">
        <is>
          <t>money</t>
        </is>
      </c>
      <c r="U161" s="10" t="inlineStr"/>
      <c r="V161" s="33" t="inlineStr">
        <is>
          <t>5</t>
        </is>
      </c>
    </row>
    <row r="162">
      <c r="A162" s="32" t="inlineStr">
        <is>
          <t>F160</t>
        </is>
      </c>
      <c r="B162" s="32" t="inlineStr">
        <is>
          <t>Not started</t>
        </is>
      </c>
      <c r="C162" s="32" t="inlineStr">
        <is>
          <t>Session 1</t>
        </is>
      </c>
      <c r="D162" s="32" t="inlineStr">
        <is>
          <t>Debt</t>
        </is>
      </c>
      <c r="E162" s="32" t="inlineStr">
        <is>
          <t>Payday or cash advance</t>
        </is>
      </c>
      <c r="F162" s="32" t="inlineStr">
        <is>
          <t>Interest rate (APR)</t>
        </is>
      </c>
      <c r="G162" s="32" t="inlineStr">
        <is>
          <t>Primary</t>
        </is>
      </c>
      <c r="H162" s="32" t="inlineStr">
        <is>
          <t>Percent with 'not sure' (fills typical rate, marked Rough)</t>
        </is>
      </c>
      <c r="I162" s="32" t="inlineStr">
        <is>
          <t>Payoff order, total interest</t>
        </is>
      </c>
      <c r="J162" s="32" t="inlineStr">
        <is>
          <t>Add, duplicate, mark rough, not now</t>
        </is>
      </c>
      <c r="K162" s="32" t="inlineStr">
        <is>
          <t>Client</t>
        </is>
      </c>
      <c r="L162" s="32" t="n"/>
      <c r="M162" s="32" t="inlineStr">
        <is>
          <t>All</t>
        </is>
      </c>
      <c r="N162" s="32" t="inlineStr">
        <is>
          <t>High</t>
        </is>
      </c>
      <c r="O162" s="32" t="inlineStr">
        <is>
          <t>Yes</t>
        </is>
      </c>
      <c r="P162" s="32" t="inlineStr">
        <is>
          <t>Now</t>
        </is>
      </c>
      <c r="Q162" s="32" t="n"/>
      <c r="S162" s="10" t="inlineStr">
        <is>
          <t>My Money › Debt</t>
        </is>
      </c>
      <c r="T162" s="10" t="inlineStr">
        <is>
          <t>percent</t>
        </is>
      </c>
      <c r="U162" s="10" t="inlineStr"/>
      <c r="V162" s="33" t="inlineStr">
        <is>
          <t>5</t>
        </is>
      </c>
    </row>
    <row r="163">
      <c r="A163" s="32" t="inlineStr">
        <is>
          <t>F161</t>
        </is>
      </c>
      <c r="B163" s="32" t="inlineStr">
        <is>
          <t>Not started</t>
        </is>
      </c>
      <c r="C163" s="32" t="inlineStr">
        <is>
          <t>Session 1</t>
        </is>
      </c>
      <c r="D163" s="32" t="inlineStr">
        <is>
          <t>Debt</t>
        </is>
      </c>
      <c r="E163" s="32" t="inlineStr">
        <is>
          <t>Payday or cash advance</t>
        </is>
      </c>
      <c r="F163" s="32" t="inlineStr">
        <is>
          <t>Monthly payment</t>
        </is>
      </c>
      <c r="G163" s="32" t="inlineStr">
        <is>
          <t>Primary</t>
        </is>
      </c>
      <c r="H163" s="32" t="inlineStr">
        <is>
          <t>Amount</t>
        </is>
      </c>
      <c r="I163" s="32" t="inlineStr">
        <is>
          <t>Cash flow, payoff date</t>
        </is>
      </c>
      <c r="J163" s="32" t="inlineStr">
        <is>
          <t>Add, duplicate, mark rough, not now</t>
        </is>
      </c>
      <c r="K163" s="32" t="inlineStr">
        <is>
          <t>Client</t>
        </is>
      </c>
      <c r="L163" s="32" t="n"/>
      <c r="M163" s="32" t="inlineStr">
        <is>
          <t>All</t>
        </is>
      </c>
      <c r="N163" s="32" t="inlineStr">
        <is>
          <t>High</t>
        </is>
      </c>
      <c r="O163" s="32" t="inlineStr">
        <is>
          <t>Yes</t>
        </is>
      </c>
      <c r="P163" s="32" t="inlineStr">
        <is>
          <t>Now</t>
        </is>
      </c>
      <c r="Q163" s="32" t="n"/>
      <c r="S163" s="10" t="inlineStr">
        <is>
          <t>My Money › Debt</t>
        </is>
      </c>
      <c r="T163" s="10" t="inlineStr">
        <is>
          <t>money</t>
        </is>
      </c>
      <c r="U163" s="10" t="inlineStr"/>
      <c r="V163" s="33" t="inlineStr">
        <is>
          <t>5</t>
        </is>
      </c>
    </row>
    <row r="164">
      <c r="A164" s="32" t="inlineStr">
        <is>
          <t>F162</t>
        </is>
      </c>
      <c r="B164" s="32" t="inlineStr">
        <is>
          <t>Not started</t>
        </is>
      </c>
      <c r="C164" s="32" t="inlineStr">
        <is>
          <t>Session 1</t>
        </is>
      </c>
      <c r="D164" s="32" t="inlineStr">
        <is>
          <t>Debt</t>
        </is>
      </c>
      <c r="E164" s="32" t="inlineStr">
        <is>
          <t>Payday or cash advance</t>
        </is>
      </c>
      <c r="F164" s="32" t="inlineStr">
        <is>
          <t>Fees per period</t>
        </is>
      </c>
      <c r="G164" s="32" t="inlineStr">
        <is>
          <t>Secondary</t>
        </is>
      </c>
      <c r="H164" s="32" t="inlineStr">
        <is>
          <t>Amount</t>
        </is>
      </c>
      <c r="I164" s="32" t="inlineStr">
        <is>
          <t>True APR computed from fees</t>
        </is>
      </c>
      <c r="J164" s="32" t="n"/>
      <c r="K164" s="32" t="inlineStr">
        <is>
          <t>Client</t>
        </is>
      </c>
      <c r="L164" s="32" t="inlineStr">
        <is>
          <t>Often</t>
        </is>
      </c>
      <c r="M164" s="32" t="inlineStr">
        <is>
          <t>All</t>
        </is>
      </c>
      <c r="N164" s="32" t="inlineStr">
        <is>
          <t>High</t>
        </is>
      </c>
      <c r="O164" s="32" t="inlineStr">
        <is>
          <t>Yes</t>
        </is>
      </c>
      <c r="P164" s="32" t="inlineStr">
        <is>
          <t>Now</t>
        </is>
      </c>
      <c r="Q164" s="32" t="n"/>
      <c r="S164" s="10" t="inlineStr">
        <is>
          <t>My Money › Debt</t>
        </is>
      </c>
      <c r="T164" s="10" t="inlineStr">
        <is>
          <t>money</t>
        </is>
      </c>
      <c r="U164" s="10" t="inlineStr"/>
      <c r="V164" s="33" t="inlineStr">
        <is>
          <t>5</t>
        </is>
      </c>
    </row>
    <row r="165">
      <c r="A165" s="32" t="inlineStr">
        <is>
          <t>F163</t>
        </is>
      </c>
      <c r="B165" s="32" t="inlineStr">
        <is>
          <t>Not started</t>
        </is>
      </c>
      <c r="C165" s="32" t="inlineStr">
        <is>
          <t>Session 1</t>
        </is>
      </c>
      <c r="D165" s="32" t="inlineStr">
        <is>
          <t>Debt</t>
        </is>
      </c>
      <c r="E165" s="32" t="inlineStr">
        <is>
          <t>Tax debt</t>
        </is>
      </c>
      <c r="F165" s="32" t="inlineStr">
        <is>
          <t>Name or lender</t>
        </is>
      </c>
      <c r="G165" s="32" t="inlineStr">
        <is>
          <t>Primary</t>
        </is>
      </c>
      <c r="H165" s="32" t="inlineStr">
        <is>
          <t>Text box</t>
        </is>
      </c>
      <c r="I165" s="32" t="inlineStr">
        <is>
          <t>Labels the row</t>
        </is>
      </c>
      <c r="J165" s="32" t="inlineStr">
        <is>
          <t>Add, duplicate, mark rough, not now</t>
        </is>
      </c>
      <c r="K165" s="32" t="inlineStr">
        <is>
          <t>Client</t>
        </is>
      </c>
      <c r="L165" s="32" t="n"/>
      <c r="M165" s="32" t="inlineStr">
        <is>
          <t>All</t>
        </is>
      </c>
      <c r="N165" s="32" t="inlineStr">
        <is>
          <t>Low</t>
        </is>
      </c>
      <c r="O165" s="32" t="inlineStr">
        <is>
          <t>Yes</t>
        </is>
      </c>
      <c r="P165" s="32" t="inlineStr">
        <is>
          <t>Now</t>
        </is>
      </c>
      <c r="Q165" s="32" t="n"/>
      <c r="S165" s="10" t="inlineStr">
        <is>
          <t>My Money › Debt</t>
        </is>
      </c>
      <c r="T165" s="10" t="inlineStr">
        <is>
          <t>text</t>
        </is>
      </c>
      <c r="U165" s="10" t="inlineStr"/>
      <c r="V165" s="33" t="inlineStr">
        <is>
          <t>5</t>
        </is>
      </c>
    </row>
    <row r="166">
      <c r="A166" s="32" t="inlineStr">
        <is>
          <t>F164</t>
        </is>
      </c>
      <c r="B166" s="32" t="inlineStr">
        <is>
          <t>Not started</t>
        </is>
      </c>
      <c r="C166" s="32" t="inlineStr">
        <is>
          <t>Session 1</t>
        </is>
      </c>
      <c r="D166" s="32" t="inlineStr">
        <is>
          <t>Debt</t>
        </is>
      </c>
      <c r="E166" s="32" t="inlineStr">
        <is>
          <t>Tax debt</t>
        </is>
      </c>
      <c r="F166" s="32" t="inlineStr">
        <is>
          <t>Balance</t>
        </is>
      </c>
      <c r="G166" s="32" t="inlineStr">
        <is>
          <t>Primary</t>
        </is>
      </c>
      <c r="H166" s="32" t="inlineStr">
        <is>
          <t>Amount</t>
        </is>
      </c>
      <c r="I166" s="32" t="inlineStr">
        <is>
          <t>Net worth, payoff, debt total</t>
        </is>
      </c>
      <c r="J166" s="32" t="inlineStr">
        <is>
          <t>Add, duplicate, mark rough, not now</t>
        </is>
      </c>
      <c r="K166" s="32" t="inlineStr">
        <is>
          <t>Client</t>
        </is>
      </c>
      <c r="L166" s="32" t="n"/>
      <c r="M166" s="32" t="inlineStr">
        <is>
          <t>All</t>
        </is>
      </c>
      <c r="N166" s="32" t="inlineStr">
        <is>
          <t>High</t>
        </is>
      </c>
      <c r="O166" s="32" t="inlineStr">
        <is>
          <t>Yes</t>
        </is>
      </c>
      <c r="P166" s="32" t="inlineStr">
        <is>
          <t>Now</t>
        </is>
      </c>
      <c r="Q166" s="32" t="n"/>
      <c r="S166" s="10" t="inlineStr">
        <is>
          <t>My Money › Debt</t>
        </is>
      </c>
      <c r="T166" s="10" t="inlineStr">
        <is>
          <t>money</t>
        </is>
      </c>
      <c r="U166" s="10" t="inlineStr"/>
      <c r="V166" s="33" t="inlineStr">
        <is>
          <t>5</t>
        </is>
      </c>
    </row>
    <row r="167">
      <c r="A167" s="32" t="inlineStr">
        <is>
          <t>F165</t>
        </is>
      </c>
      <c r="B167" s="32" t="inlineStr">
        <is>
          <t>Not started</t>
        </is>
      </c>
      <c r="C167" s="32" t="inlineStr">
        <is>
          <t>Session 1</t>
        </is>
      </c>
      <c r="D167" s="32" t="inlineStr">
        <is>
          <t>Debt</t>
        </is>
      </c>
      <c r="E167" s="32" t="inlineStr">
        <is>
          <t>Tax debt</t>
        </is>
      </c>
      <c r="F167" s="32" t="inlineStr">
        <is>
          <t>Interest rate (APR)</t>
        </is>
      </c>
      <c r="G167" s="32" t="inlineStr">
        <is>
          <t>Primary</t>
        </is>
      </c>
      <c r="H167" s="32" t="inlineStr">
        <is>
          <t>Percent with 'not sure' (fills typical rate, marked Rough)</t>
        </is>
      </c>
      <c r="I167" s="32" t="inlineStr">
        <is>
          <t>Payoff order, total interest</t>
        </is>
      </c>
      <c r="J167" s="32" t="inlineStr">
        <is>
          <t>Add, duplicate, mark rough, not now</t>
        </is>
      </c>
      <c r="K167" s="32" t="inlineStr">
        <is>
          <t>Client</t>
        </is>
      </c>
      <c r="L167" s="32" t="n"/>
      <c r="M167" s="32" t="inlineStr">
        <is>
          <t>All</t>
        </is>
      </c>
      <c r="N167" s="32" t="inlineStr">
        <is>
          <t>High</t>
        </is>
      </c>
      <c r="O167" s="32" t="inlineStr">
        <is>
          <t>Yes</t>
        </is>
      </c>
      <c r="P167" s="32" t="inlineStr">
        <is>
          <t>Now</t>
        </is>
      </c>
      <c r="Q167" s="32" t="n"/>
      <c r="S167" s="10" t="inlineStr">
        <is>
          <t>My Money › Debt</t>
        </is>
      </c>
      <c r="T167" s="10" t="inlineStr">
        <is>
          <t>percent</t>
        </is>
      </c>
      <c r="U167" s="10" t="inlineStr"/>
      <c r="V167" s="33" t="inlineStr">
        <is>
          <t>5</t>
        </is>
      </c>
    </row>
    <row r="168">
      <c r="A168" s="32" t="inlineStr">
        <is>
          <t>F166</t>
        </is>
      </c>
      <c r="B168" s="32" t="inlineStr">
        <is>
          <t>Not started</t>
        </is>
      </c>
      <c r="C168" s="32" t="inlineStr">
        <is>
          <t>Session 1</t>
        </is>
      </c>
      <c r="D168" s="32" t="inlineStr">
        <is>
          <t>Debt</t>
        </is>
      </c>
      <c r="E168" s="32" t="inlineStr">
        <is>
          <t>Tax debt</t>
        </is>
      </c>
      <c r="F168" s="32" t="inlineStr">
        <is>
          <t>Monthly payment</t>
        </is>
      </c>
      <c r="G168" s="32" t="inlineStr">
        <is>
          <t>Primary</t>
        </is>
      </c>
      <c r="H168" s="32" t="inlineStr">
        <is>
          <t>Amount</t>
        </is>
      </c>
      <c r="I168" s="32" t="inlineStr">
        <is>
          <t>Cash flow, payoff date</t>
        </is>
      </c>
      <c r="J168" s="32" t="inlineStr">
        <is>
          <t>Add, duplicate, mark rough, not now</t>
        </is>
      </c>
      <c r="K168" s="32" t="inlineStr">
        <is>
          <t>Client</t>
        </is>
      </c>
      <c r="L168" s="32" t="n"/>
      <c r="M168" s="32" t="inlineStr">
        <is>
          <t>All</t>
        </is>
      </c>
      <c r="N168" s="32" t="inlineStr">
        <is>
          <t>High</t>
        </is>
      </c>
      <c r="O168" s="32" t="inlineStr">
        <is>
          <t>Yes</t>
        </is>
      </c>
      <c r="P168" s="32" t="inlineStr">
        <is>
          <t>Now</t>
        </is>
      </c>
      <c r="Q168" s="32" t="n"/>
      <c r="S168" s="10" t="inlineStr">
        <is>
          <t>My Money › Debt</t>
        </is>
      </c>
      <c r="T168" s="10" t="inlineStr">
        <is>
          <t>money</t>
        </is>
      </c>
      <c r="U168" s="10" t="inlineStr"/>
      <c r="V168" s="33" t="inlineStr">
        <is>
          <t>5</t>
        </is>
      </c>
    </row>
    <row r="169">
      <c r="A169" s="32" t="inlineStr">
        <is>
          <t>F167</t>
        </is>
      </c>
      <c r="B169" s="32" t="inlineStr">
        <is>
          <t>Not started</t>
        </is>
      </c>
      <c r="C169" s="32" t="inlineStr">
        <is>
          <t>Session 1</t>
        </is>
      </c>
      <c r="D169" s="32" t="inlineStr">
        <is>
          <t>Debt</t>
        </is>
      </c>
      <c r="E169" s="32" t="inlineStr">
        <is>
          <t>Tax debt</t>
        </is>
      </c>
      <c r="F169" s="32" t="inlineStr">
        <is>
          <t>Payment plan in place</t>
        </is>
      </c>
      <c r="G169" s="32" t="inlineStr">
        <is>
          <t>Secondary</t>
        </is>
      </c>
      <c r="H169" s="32" t="inlineStr">
        <is>
          <t>Yes or no</t>
        </is>
      </c>
      <c r="I169" s="32" t="inlineStr">
        <is>
          <t>Penalty risk</t>
        </is>
      </c>
      <c r="J169" s="32" t="n"/>
      <c r="K169" s="32" t="inlineStr">
        <is>
          <t>Client</t>
        </is>
      </c>
      <c r="L169" s="32" t="inlineStr">
        <is>
          <t>Often</t>
        </is>
      </c>
      <c r="M169" s="32" t="inlineStr">
        <is>
          <t>All</t>
        </is>
      </c>
      <c r="N169" s="32" t="inlineStr">
        <is>
          <t>Medium</t>
        </is>
      </c>
      <c r="O169" s="32" t="inlineStr">
        <is>
          <t>Yes</t>
        </is>
      </c>
      <c r="P169" s="32" t="inlineStr">
        <is>
          <t>Now</t>
        </is>
      </c>
      <c r="Q169" s="32" t="n"/>
      <c r="S169" s="10" t="inlineStr">
        <is>
          <t>My Money › Debt</t>
        </is>
      </c>
      <c r="T169" s="10" t="inlineStr">
        <is>
          <t>choice</t>
        </is>
      </c>
      <c r="U169" s="10" t="inlineStr">
        <is>
          <t>Yes, No, Not sure</t>
        </is>
      </c>
      <c r="V169" s="33" t="inlineStr">
        <is>
          <t>5</t>
        </is>
      </c>
    </row>
    <row r="170">
      <c r="A170" s="32" t="inlineStr">
        <is>
          <t>F168</t>
        </is>
      </c>
      <c r="B170" s="32" t="inlineStr">
        <is>
          <t>Not started</t>
        </is>
      </c>
      <c r="C170" s="32" t="inlineStr">
        <is>
          <t>Session 2+</t>
        </is>
      </c>
      <c r="D170" s="32" t="inlineStr">
        <is>
          <t>Debt</t>
        </is>
      </c>
      <c r="E170" s="32" t="inlineStr">
        <is>
          <t>401(k) loan</t>
        </is>
      </c>
      <c r="F170" s="32" t="inlineStr">
        <is>
          <t>Name or lender</t>
        </is>
      </c>
      <c r="G170" s="32" t="inlineStr">
        <is>
          <t>Primary</t>
        </is>
      </c>
      <c r="H170" s="32" t="inlineStr">
        <is>
          <t>Text box</t>
        </is>
      </c>
      <c r="I170" s="32" t="inlineStr">
        <is>
          <t>Labels the row</t>
        </is>
      </c>
      <c r="J170" s="32" t="inlineStr">
        <is>
          <t>Add, duplicate, mark rough, not now</t>
        </is>
      </c>
      <c r="K170" s="32" t="inlineStr">
        <is>
          <t>Client</t>
        </is>
      </c>
      <c r="L170" s="32" t="n"/>
      <c r="M170" s="32" t="inlineStr">
        <is>
          <t>All</t>
        </is>
      </c>
      <c r="N170" s="32" t="inlineStr">
        <is>
          <t>Low</t>
        </is>
      </c>
      <c r="O170" s="32" t="inlineStr">
        <is>
          <t>Yes</t>
        </is>
      </c>
      <c r="P170" s="32" t="inlineStr">
        <is>
          <t>Now</t>
        </is>
      </c>
      <c r="Q170" s="32" t="n"/>
      <c r="S170" s="10" t="inlineStr">
        <is>
          <t>My Money › Debt</t>
        </is>
      </c>
      <c r="T170" s="10" t="inlineStr">
        <is>
          <t>text</t>
        </is>
      </c>
      <c r="U170" s="10" t="inlineStr"/>
      <c r="V170" s="33" t="inlineStr">
        <is>
          <t>5</t>
        </is>
      </c>
    </row>
    <row r="171">
      <c r="A171" s="32" t="inlineStr">
        <is>
          <t>F169</t>
        </is>
      </c>
      <c r="B171" s="32" t="inlineStr">
        <is>
          <t>Not started</t>
        </is>
      </c>
      <c r="C171" s="32" t="inlineStr">
        <is>
          <t>Session 2+</t>
        </is>
      </c>
      <c r="D171" s="32" t="inlineStr">
        <is>
          <t>Debt</t>
        </is>
      </c>
      <c r="E171" s="32" t="inlineStr">
        <is>
          <t>401(k) loan</t>
        </is>
      </c>
      <c r="F171" s="32" t="inlineStr">
        <is>
          <t>Balance</t>
        </is>
      </c>
      <c r="G171" s="32" t="inlineStr">
        <is>
          <t>Primary</t>
        </is>
      </c>
      <c r="H171" s="32" t="inlineStr">
        <is>
          <t>Amount</t>
        </is>
      </c>
      <c r="I171" s="32" t="inlineStr">
        <is>
          <t>Net worth, payoff, debt total</t>
        </is>
      </c>
      <c r="J171" s="32" t="inlineStr">
        <is>
          <t>Add, duplicate, mark rough, not now</t>
        </is>
      </c>
      <c r="K171" s="32" t="inlineStr">
        <is>
          <t>Client</t>
        </is>
      </c>
      <c r="L171" s="32" t="n"/>
      <c r="M171" s="32" t="inlineStr">
        <is>
          <t>All</t>
        </is>
      </c>
      <c r="N171" s="32" t="inlineStr">
        <is>
          <t>High</t>
        </is>
      </c>
      <c r="O171" s="32" t="inlineStr">
        <is>
          <t>Yes</t>
        </is>
      </c>
      <c r="P171" s="32" t="inlineStr">
        <is>
          <t>Now</t>
        </is>
      </c>
      <c r="Q171" s="32" t="n"/>
      <c r="S171" s="10" t="inlineStr">
        <is>
          <t>My Money › Debt</t>
        </is>
      </c>
      <c r="T171" s="10" t="inlineStr">
        <is>
          <t>money</t>
        </is>
      </c>
      <c r="U171" s="10" t="inlineStr"/>
      <c r="V171" s="33" t="inlineStr">
        <is>
          <t>5</t>
        </is>
      </c>
    </row>
    <row r="172">
      <c r="A172" s="32" t="inlineStr">
        <is>
          <t>F170</t>
        </is>
      </c>
      <c r="B172" s="32" t="inlineStr">
        <is>
          <t>Not started</t>
        </is>
      </c>
      <c r="C172" s="32" t="inlineStr">
        <is>
          <t>Session 2+</t>
        </is>
      </c>
      <c r="D172" s="32" t="inlineStr">
        <is>
          <t>Debt</t>
        </is>
      </c>
      <c r="E172" s="32" t="inlineStr">
        <is>
          <t>401(k) loan</t>
        </is>
      </c>
      <c r="F172" s="32" t="inlineStr">
        <is>
          <t>Interest rate (APR)</t>
        </is>
      </c>
      <c r="G172" s="32" t="inlineStr">
        <is>
          <t>Primary</t>
        </is>
      </c>
      <c r="H172" s="32" t="inlineStr">
        <is>
          <t>Percent with 'not sure' (fills typical rate, marked Rough)</t>
        </is>
      </c>
      <c r="I172" s="32" t="inlineStr">
        <is>
          <t>Payoff order, total interest</t>
        </is>
      </c>
      <c r="J172" s="32" t="inlineStr">
        <is>
          <t>Add, duplicate, mark rough, not now</t>
        </is>
      </c>
      <c r="K172" s="32" t="inlineStr">
        <is>
          <t>Client</t>
        </is>
      </c>
      <c r="L172" s="32" t="n"/>
      <c r="M172" s="32" t="inlineStr">
        <is>
          <t>All</t>
        </is>
      </c>
      <c r="N172" s="32" t="inlineStr">
        <is>
          <t>High</t>
        </is>
      </c>
      <c r="O172" s="32" t="inlineStr">
        <is>
          <t>Yes</t>
        </is>
      </c>
      <c r="P172" s="32" t="inlineStr">
        <is>
          <t>Now</t>
        </is>
      </c>
      <c r="Q172" s="32" t="n"/>
      <c r="S172" s="10" t="inlineStr">
        <is>
          <t>My Money › Debt</t>
        </is>
      </c>
      <c r="T172" s="10" t="inlineStr">
        <is>
          <t>percent</t>
        </is>
      </c>
      <c r="U172" s="10" t="inlineStr"/>
      <c r="V172" s="33" t="inlineStr">
        <is>
          <t>5</t>
        </is>
      </c>
    </row>
    <row r="173">
      <c r="A173" s="32" t="inlineStr">
        <is>
          <t>F171</t>
        </is>
      </c>
      <c r="B173" s="32" t="inlineStr">
        <is>
          <t>Not started</t>
        </is>
      </c>
      <c r="C173" s="32" t="inlineStr">
        <is>
          <t>Session 2+</t>
        </is>
      </c>
      <c r="D173" s="32" t="inlineStr">
        <is>
          <t>Debt</t>
        </is>
      </c>
      <c r="E173" s="32" t="inlineStr">
        <is>
          <t>401(k) loan</t>
        </is>
      </c>
      <c r="F173" s="32" t="inlineStr">
        <is>
          <t>Monthly payment</t>
        </is>
      </c>
      <c r="G173" s="32" t="inlineStr">
        <is>
          <t>Primary</t>
        </is>
      </c>
      <c r="H173" s="32" t="inlineStr">
        <is>
          <t>Amount</t>
        </is>
      </c>
      <c r="I173" s="32" t="inlineStr">
        <is>
          <t>Cash flow, payoff date</t>
        </is>
      </c>
      <c r="J173" s="32" t="inlineStr">
        <is>
          <t>Add, duplicate, mark rough, not now</t>
        </is>
      </c>
      <c r="K173" s="32" t="inlineStr">
        <is>
          <t>Client</t>
        </is>
      </c>
      <c r="L173" s="32" t="n"/>
      <c r="M173" s="32" t="inlineStr">
        <is>
          <t>All</t>
        </is>
      </c>
      <c r="N173" s="32" t="inlineStr">
        <is>
          <t>High</t>
        </is>
      </c>
      <c r="O173" s="32" t="inlineStr">
        <is>
          <t>Yes</t>
        </is>
      </c>
      <c r="P173" s="32" t="inlineStr">
        <is>
          <t>Now</t>
        </is>
      </c>
      <c r="Q173" s="32" t="n"/>
      <c r="S173" s="10" t="inlineStr">
        <is>
          <t>My Money › Debt</t>
        </is>
      </c>
      <c r="T173" s="10" t="inlineStr">
        <is>
          <t>money</t>
        </is>
      </c>
      <c r="U173" s="10" t="inlineStr"/>
      <c r="V173" s="33" t="inlineStr">
        <is>
          <t>5</t>
        </is>
      </c>
    </row>
    <row r="174">
      <c r="A174" s="32" t="inlineStr">
        <is>
          <t>F172</t>
        </is>
      </c>
      <c r="B174" s="32" t="inlineStr">
        <is>
          <t>Not started</t>
        </is>
      </c>
      <c r="C174" s="32" t="inlineStr">
        <is>
          <t>Session 1</t>
        </is>
      </c>
      <c r="D174" s="32" t="inlineStr">
        <is>
          <t>Debt</t>
        </is>
      </c>
      <c r="E174" s="32" t="inlineStr">
        <is>
          <t>401(k) loan</t>
        </is>
      </c>
      <c r="F174" s="32" t="inlineStr">
        <is>
          <t>Due in full if you leave job</t>
        </is>
      </c>
      <c r="G174" s="32" t="inlineStr">
        <is>
          <t>Secondary</t>
        </is>
      </c>
      <c r="H174" s="32" t="inlineStr">
        <is>
          <t>Computed warning</t>
        </is>
      </c>
      <c r="I174" s="32" t="inlineStr">
        <is>
          <t>Job change risk</t>
        </is>
      </c>
      <c r="J174" s="32" t="n"/>
      <c r="K174" s="32" t="inlineStr">
        <is>
          <t>Client</t>
        </is>
      </c>
      <c r="L174" s="32" t="inlineStr">
        <is>
          <t>Often</t>
        </is>
      </c>
      <c r="M174" s="32" t="inlineStr">
        <is>
          <t>All</t>
        </is>
      </c>
      <c r="N174" s="32" t="inlineStr">
        <is>
          <t>Medium</t>
        </is>
      </c>
      <c r="O174" s="32" t="inlineStr">
        <is>
          <t>Yes</t>
        </is>
      </c>
      <c r="P174" s="32" t="inlineStr">
        <is>
          <t>Now</t>
        </is>
      </c>
      <c r="Q174" s="32" t="n"/>
      <c r="S174" s="10" t="inlineStr">
        <is>
          <t>My Money › Debt</t>
        </is>
      </c>
      <c r="T174" s="10" t="inlineStr">
        <is>
          <t>computed</t>
        </is>
      </c>
      <c r="U174" s="10" t="inlineStr"/>
      <c r="V174" s="33" t="inlineStr">
        <is>
          <t>5</t>
        </is>
      </c>
    </row>
    <row r="175">
      <c r="A175" s="32" t="inlineStr">
        <is>
          <t>F173</t>
        </is>
      </c>
      <c r="B175" s="32" t="inlineStr">
        <is>
          <t>Not started</t>
        </is>
      </c>
      <c r="C175" s="32" t="inlineStr">
        <is>
          <t>Session 2+</t>
        </is>
      </c>
      <c r="D175" s="32" t="inlineStr">
        <is>
          <t>Debt</t>
        </is>
      </c>
      <c r="E175" s="32" t="inlineStr">
        <is>
          <t>Business debt</t>
        </is>
      </c>
      <c r="F175" s="32" t="inlineStr">
        <is>
          <t>Name or lender</t>
        </is>
      </c>
      <c r="G175" s="32" t="inlineStr">
        <is>
          <t>Primary</t>
        </is>
      </c>
      <c r="H175" s="32" t="inlineStr">
        <is>
          <t>Text box</t>
        </is>
      </c>
      <c r="I175" s="32" t="inlineStr">
        <is>
          <t>Labels the row</t>
        </is>
      </c>
      <c r="J175" s="32" t="inlineStr">
        <is>
          <t>Add, duplicate, mark rough, not now</t>
        </is>
      </c>
      <c r="K175" s="32" t="inlineStr">
        <is>
          <t>Client</t>
        </is>
      </c>
      <c r="L175" s="32" t="n"/>
      <c r="M175" s="32" t="inlineStr">
        <is>
          <t>All</t>
        </is>
      </c>
      <c r="N175" s="32" t="inlineStr">
        <is>
          <t>Low</t>
        </is>
      </c>
      <c r="O175" s="32" t="inlineStr">
        <is>
          <t>Yes</t>
        </is>
      </c>
      <c r="P175" s="32" t="inlineStr">
        <is>
          <t>Now</t>
        </is>
      </c>
      <c r="Q175" s="32" t="n"/>
      <c r="S175" s="10" t="inlineStr">
        <is>
          <t>My Money › Debt</t>
        </is>
      </c>
      <c r="T175" s="10" t="inlineStr">
        <is>
          <t>text</t>
        </is>
      </c>
      <c r="U175" s="10" t="inlineStr"/>
      <c r="V175" s="33" t="inlineStr">
        <is>
          <t>5</t>
        </is>
      </c>
    </row>
    <row r="176">
      <c r="A176" s="32" t="inlineStr">
        <is>
          <t>F174</t>
        </is>
      </c>
      <c r="B176" s="32" t="inlineStr">
        <is>
          <t>Not started</t>
        </is>
      </c>
      <c r="C176" s="32" t="inlineStr">
        <is>
          <t>Session 2+</t>
        </is>
      </c>
      <c r="D176" s="32" t="inlineStr">
        <is>
          <t>Debt</t>
        </is>
      </c>
      <c r="E176" s="32" t="inlineStr">
        <is>
          <t>Business debt</t>
        </is>
      </c>
      <c r="F176" s="32" t="inlineStr">
        <is>
          <t>Balance</t>
        </is>
      </c>
      <c r="G176" s="32" t="inlineStr">
        <is>
          <t>Primary</t>
        </is>
      </c>
      <c r="H176" s="32" t="inlineStr">
        <is>
          <t>Amount</t>
        </is>
      </c>
      <c r="I176" s="32" t="inlineStr">
        <is>
          <t>Net worth, payoff, debt total</t>
        </is>
      </c>
      <c r="J176" s="32" t="inlineStr">
        <is>
          <t>Add, duplicate, mark rough, not now</t>
        </is>
      </c>
      <c r="K176" s="32" t="inlineStr">
        <is>
          <t>Client</t>
        </is>
      </c>
      <c r="L176" s="32" t="n"/>
      <c r="M176" s="32" t="inlineStr">
        <is>
          <t>All</t>
        </is>
      </c>
      <c r="N176" s="32" t="inlineStr">
        <is>
          <t>High</t>
        </is>
      </c>
      <c r="O176" s="32" t="inlineStr">
        <is>
          <t>Yes</t>
        </is>
      </c>
      <c r="P176" s="32" t="inlineStr">
        <is>
          <t>Now</t>
        </is>
      </c>
      <c r="Q176" s="32" t="n"/>
      <c r="S176" s="10" t="inlineStr">
        <is>
          <t>My Money › Debt</t>
        </is>
      </c>
      <c r="T176" s="10" t="inlineStr">
        <is>
          <t>money</t>
        </is>
      </c>
      <c r="U176" s="10" t="inlineStr"/>
      <c r="V176" s="33" t="inlineStr">
        <is>
          <t>5</t>
        </is>
      </c>
    </row>
    <row r="177">
      <c r="A177" s="32" t="inlineStr">
        <is>
          <t>F175</t>
        </is>
      </c>
      <c r="B177" s="32" t="inlineStr">
        <is>
          <t>Not started</t>
        </is>
      </c>
      <c r="C177" s="32" t="inlineStr">
        <is>
          <t>Session 2+</t>
        </is>
      </c>
      <c r="D177" s="32" t="inlineStr">
        <is>
          <t>Debt</t>
        </is>
      </c>
      <c r="E177" s="32" t="inlineStr">
        <is>
          <t>Business debt</t>
        </is>
      </c>
      <c r="F177" s="32" t="inlineStr">
        <is>
          <t>Interest rate (APR)</t>
        </is>
      </c>
      <c r="G177" s="32" t="inlineStr">
        <is>
          <t>Primary</t>
        </is>
      </c>
      <c r="H177" s="32" t="inlineStr">
        <is>
          <t>Percent with 'not sure' (fills typical rate, marked Rough)</t>
        </is>
      </c>
      <c r="I177" s="32" t="inlineStr">
        <is>
          <t>Payoff order, total interest</t>
        </is>
      </c>
      <c r="J177" s="32" t="inlineStr">
        <is>
          <t>Add, duplicate, mark rough, not now</t>
        </is>
      </c>
      <c r="K177" s="32" t="inlineStr">
        <is>
          <t>Client</t>
        </is>
      </c>
      <c r="L177" s="32" t="n"/>
      <c r="M177" s="32" t="inlineStr">
        <is>
          <t>All</t>
        </is>
      </c>
      <c r="N177" s="32" t="inlineStr">
        <is>
          <t>High</t>
        </is>
      </c>
      <c r="O177" s="32" t="inlineStr">
        <is>
          <t>Yes</t>
        </is>
      </c>
      <c r="P177" s="32" t="inlineStr">
        <is>
          <t>Now</t>
        </is>
      </c>
      <c r="Q177" s="32" t="n"/>
      <c r="S177" s="10" t="inlineStr">
        <is>
          <t>My Money › Debt</t>
        </is>
      </c>
      <c r="T177" s="10" t="inlineStr">
        <is>
          <t>percent</t>
        </is>
      </c>
      <c r="U177" s="10" t="inlineStr"/>
      <c r="V177" s="33" t="inlineStr">
        <is>
          <t>5</t>
        </is>
      </c>
    </row>
    <row r="178">
      <c r="A178" s="32" t="inlineStr">
        <is>
          <t>F176</t>
        </is>
      </c>
      <c r="B178" s="32" t="inlineStr">
        <is>
          <t>Not started</t>
        </is>
      </c>
      <c r="C178" s="32" t="inlineStr">
        <is>
          <t>Session 2+</t>
        </is>
      </c>
      <c r="D178" s="32" t="inlineStr">
        <is>
          <t>Debt</t>
        </is>
      </c>
      <c r="E178" s="32" t="inlineStr">
        <is>
          <t>Business debt</t>
        </is>
      </c>
      <c r="F178" s="32" t="inlineStr">
        <is>
          <t>Monthly payment</t>
        </is>
      </c>
      <c r="G178" s="32" t="inlineStr">
        <is>
          <t>Primary</t>
        </is>
      </c>
      <c r="H178" s="32" t="inlineStr">
        <is>
          <t>Amount</t>
        </is>
      </c>
      <c r="I178" s="32" t="inlineStr">
        <is>
          <t>Cash flow, payoff date</t>
        </is>
      </c>
      <c r="J178" s="32" t="inlineStr">
        <is>
          <t>Add, duplicate, mark rough, not now</t>
        </is>
      </c>
      <c r="K178" s="32" t="inlineStr">
        <is>
          <t>Client</t>
        </is>
      </c>
      <c r="L178" s="32" t="n"/>
      <c r="M178" s="32" t="inlineStr">
        <is>
          <t>All</t>
        </is>
      </c>
      <c r="N178" s="32" t="inlineStr">
        <is>
          <t>High</t>
        </is>
      </c>
      <c r="O178" s="32" t="inlineStr">
        <is>
          <t>Yes</t>
        </is>
      </c>
      <c r="P178" s="32" t="inlineStr">
        <is>
          <t>Now</t>
        </is>
      </c>
      <c r="Q178" s="32" t="n"/>
      <c r="S178" s="10" t="inlineStr">
        <is>
          <t>My Money › Debt</t>
        </is>
      </c>
      <c r="T178" s="10" t="inlineStr">
        <is>
          <t>money</t>
        </is>
      </c>
      <c r="U178" s="10" t="inlineStr"/>
      <c r="V178" s="33" t="inlineStr">
        <is>
          <t>5</t>
        </is>
      </c>
    </row>
    <row r="179">
      <c r="A179" s="32" t="inlineStr">
        <is>
          <t>F177</t>
        </is>
      </c>
      <c r="B179" s="32" t="inlineStr">
        <is>
          <t>Not started</t>
        </is>
      </c>
      <c r="C179" s="32" t="inlineStr">
        <is>
          <t>Session 1</t>
        </is>
      </c>
      <c r="D179" s="32" t="inlineStr">
        <is>
          <t>Debt</t>
        </is>
      </c>
      <c r="E179" s="32" t="inlineStr">
        <is>
          <t>Business debt</t>
        </is>
      </c>
      <c r="F179" s="32" t="inlineStr">
        <is>
          <t>Personally guaranteed</t>
        </is>
      </c>
      <c r="G179" s="32" t="inlineStr">
        <is>
          <t>Secondary</t>
        </is>
      </c>
      <c r="H179" s="32" t="inlineStr">
        <is>
          <t>Yes or no</t>
        </is>
      </c>
      <c r="I179" s="32" t="inlineStr">
        <is>
          <t>Personal risk</t>
        </is>
      </c>
      <c r="J179" s="32" t="n"/>
      <c r="K179" s="32" t="inlineStr">
        <is>
          <t>Client</t>
        </is>
      </c>
      <c r="L179" s="32" t="inlineStr">
        <is>
          <t>Often</t>
        </is>
      </c>
      <c r="M179" s="32" t="inlineStr">
        <is>
          <t>All</t>
        </is>
      </c>
      <c r="N179" s="32" t="inlineStr">
        <is>
          <t>Medium</t>
        </is>
      </c>
      <c r="O179" s="32" t="inlineStr">
        <is>
          <t>Yes</t>
        </is>
      </c>
      <c r="P179" s="32" t="inlineStr">
        <is>
          <t>Now</t>
        </is>
      </c>
      <c r="Q179" s="32" t="n"/>
      <c r="S179" s="10" t="inlineStr">
        <is>
          <t>My Money › Debt</t>
        </is>
      </c>
      <c r="T179" s="10" t="inlineStr">
        <is>
          <t>choice</t>
        </is>
      </c>
      <c r="U179" s="10" t="inlineStr">
        <is>
          <t>Yes, No, Not sure</t>
        </is>
      </c>
      <c r="V179" s="33" t="inlineStr">
        <is>
          <t>5</t>
        </is>
      </c>
    </row>
    <row r="180">
      <c r="A180" s="32" t="inlineStr">
        <is>
          <t>F178</t>
        </is>
      </c>
      <c r="B180" s="32" t="inlineStr">
        <is>
          <t>Not started</t>
        </is>
      </c>
      <c r="C180" s="32" t="inlineStr">
        <is>
          <t>Session 1</t>
        </is>
      </c>
      <c r="D180" s="32" t="inlineStr">
        <is>
          <t>Debt</t>
        </is>
      </c>
      <c r="E180" s="32" t="inlineStr">
        <is>
          <t>Each debt</t>
        </is>
      </c>
      <c r="F180" s="32" t="inlineStr">
        <is>
          <t>Stress rating</t>
        </is>
      </c>
      <c r="G180" s="32" t="inlineStr">
        <is>
          <t>Secondary</t>
        </is>
      </c>
      <c r="H180" s="32" t="inlineStr">
        <is>
          <t>1 to 5 (how much it weighs on you)</t>
        </is>
      </c>
      <c r="I180" s="32" t="inlineStr">
        <is>
          <t>Payoff order by mental energy, not just rate (Oct 2)</t>
        </is>
      </c>
      <c r="J180" s="32" t="n"/>
      <c r="K180" s="32" t="inlineStr">
        <is>
          <t>Client</t>
        </is>
      </c>
      <c r="L180" s="32" t="n"/>
      <c r="M180" s="32" t="inlineStr">
        <is>
          <t>All</t>
        </is>
      </c>
      <c r="N180" s="32" t="inlineStr">
        <is>
          <t>High</t>
        </is>
      </c>
      <c r="O180" s="32" t="inlineStr">
        <is>
          <t>Yes</t>
        </is>
      </c>
      <c r="P180" s="32" t="inlineStr">
        <is>
          <t>Now</t>
        </is>
      </c>
      <c r="Q180" s="32" t="n"/>
      <c r="S180" s="10" t="inlineStr">
        <is>
          <t>My Money › Debt</t>
        </is>
      </c>
      <c r="T180" s="10" t="inlineStr">
        <is>
          <t>text</t>
        </is>
      </c>
      <c r="U180" s="10" t="inlineStr"/>
      <c r="V180" s="33" t="inlineStr">
        <is>
          <t>5</t>
        </is>
      </c>
    </row>
    <row r="181">
      <c r="A181" s="32" t="inlineStr">
        <is>
          <t>F179</t>
        </is>
      </c>
      <c r="B181" s="32" t="inlineStr">
        <is>
          <t>Not started</t>
        </is>
      </c>
      <c r="C181" s="32" t="inlineStr">
        <is>
          <t>Computed</t>
        </is>
      </c>
      <c r="D181" s="32" t="inlineStr">
        <is>
          <t>Debt</t>
        </is>
      </c>
      <c r="E181" s="32" t="inlineStr">
        <is>
          <t>Computed results</t>
        </is>
      </c>
      <c r="F181" s="32" t="inlineStr">
        <is>
          <t>Months to pay off and payoff date</t>
        </is>
      </c>
      <c r="G181" s="32" t="inlineStr">
        <is>
          <t>Secondary</t>
        </is>
      </c>
      <c r="H181" s="32" t="inlineStr">
        <is>
          <t>Computed</t>
        </is>
      </c>
      <c r="I181" s="32" t="inlineStr">
        <is>
          <t>Shown in months, never rounded to years</t>
        </is>
      </c>
      <c r="J181" s="32" t="n"/>
      <c r="K181" s="32" t="inlineStr">
        <is>
          <t>Computed</t>
        </is>
      </c>
      <c r="L181" s="32" t="n"/>
      <c r="M181" s="32" t="inlineStr">
        <is>
          <t>Computed</t>
        </is>
      </c>
      <c r="N181" s="32" t="inlineStr">
        <is>
          <t>High</t>
        </is>
      </c>
      <c r="O181" s="32" t="n"/>
      <c r="P181" s="32" t="inlineStr">
        <is>
          <t>Now</t>
        </is>
      </c>
      <c r="Q181" s="32" t="n"/>
      <c r="S181" s="10" t="inlineStr">
        <is>
          <t>My Money › Debt</t>
        </is>
      </c>
      <c r="T181" s="10" t="inlineStr">
        <is>
          <t>computed</t>
        </is>
      </c>
      <c r="U181" s="10" t="inlineStr"/>
      <c r="V181" s="33" t="inlineStr">
        <is>
          <t>5</t>
        </is>
      </c>
    </row>
    <row r="182">
      <c r="A182" s="32" t="inlineStr">
        <is>
          <t>F180</t>
        </is>
      </c>
      <c r="B182" s="32" t="inlineStr">
        <is>
          <t>Not started</t>
        </is>
      </c>
      <c r="C182" s="32" t="inlineStr">
        <is>
          <t>Computed</t>
        </is>
      </c>
      <c r="D182" s="32" t="inlineStr">
        <is>
          <t>Debt</t>
        </is>
      </c>
      <c r="E182" s="32" t="inlineStr">
        <is>
          <t>Computed results</t>
        </is>
      </c>
      <c r="F182" s="32" t="inlineStr">
        <is>
          <t>Total interest remaining</t>
        </is>
      </c>
      <c r="G182" s="32" t="inlineStr">
        <is>
          <t>Secondary</t>
        </is>
      </c>
      <c r="H182" s="32" t="inlineStr">
        <is>
          <t>Computed</t>
        </is>
      </c>
      <c r="I182" s="32" t="inlineStr">
        <is>
          <t>The number that makes a client wince</t>
        </is>
      </c>
      <c r="J182" s="32" t="n"/>
      <c r="K182" s="32" t="inlineStr">
        <is>
          <t>Computed</t>
        </is>
      </c>
      <c r="L182" s="32" t="n"/>
      <c r="M182" s="32" t="inlineStr">
        <is>
          <t>Computed</t>
        </is>
      </c>
      <c r="N182" s="32" t="inlineStr">
        <is>
          <t>High</t>
        </is>
      </c>
      <c r="O182" s="32" t="n"/>
      <c r="P182" s="32" t="inlineStr">
        <is>
          <t>Now</t>
        </is>
      </c>
      <c r="Q182" s="32" t="n"/>
      <c r="S182" s="10" t="inlineStr">
        <is>
          <t>My Money › Debt</t>
        </is>
      </c>
      <c r="T182" s="10" t="inlineStr">
        <is>
          <t>computed</t>
        </is>
      </c>
      <c r="U182" s="10" t="inlineStr"/>
      <c r="V182" s="33" t="inlineStr">
        <is>
          <t>5</t>
        </is>
      </c>
    </row>
    <row r="183">
      <c r="A183" s="32" t="inlineStr">
        <is>
          <t>F181</t>
        </is>
      </c>
      <c r="B183" s="32" t="inlineStr">
        <is>
          <t>Not started</t>
        </is>
      </c>
      <c r="C183" s="32" t="inlineStr">
        <is>
          <t>Computed</t>
        </is>
      </c>
      <c r="D183" s="32" t="inlineStr">
        <is>
          <t>Debt</t>
        </is>
      </c>
      <c r="E183" s="32" t="inlineStr">
        <is>
          <t>Computed results</t>
        </is>
      </c>
      <c r="F183" s="32" t="inlineStr">
        <is>
          <t>Debt-to-income ratio</t>
        </is>
      </c>
      <c r="G183" s="32" t="inlineStr">
        <is>
          <t>Secondary</t>
        </is>
      </c>
      <c r="H183" s="32" t="inlineStr">
        <is>
          <t>Computed</t>
        </is>
      </c>
      <c r="I183" s="32" t="inlineStr">
        <is>
          <t>Metric unlock</t>
        </is>
      </c>
      <c r="J183" s="32" t="n"/>
      <c r="K183" s="32" t="inlineStr">
        <is>
          <t>Computed</t>
        </is>
      </c>
      <c r="L183" s="32" t="n"/>
      <c r="M183" s="32" t="inlineStr">
        <is>
          <t>Computed</t>
        </is>
      </c>
      <c r="N183" s="32" t="inlineStr">
        <is>
          <t>High</t>
        </is>
      </c>
      <c r="O183" s="32" t="n"/>
      <c r="P183" s="32" t="inlineStr">
        <is>
          <t>Now</t>
        </is>
      </c>
      <c r="Q183" s="32" t="n"/>
      <c r="S183" s="10" t="inlineStr">
        <is>
          <t>My Money › Debt</t>
        </is>
      </c>
      <c r="T183" s="10" t="inlineStr">
        <is>
          <t>computed</t>
        </is>
      </c>
      <c r="U183" s="10" t="inlineStr"/>
      <c r="V183" s="33" t="inlineStr">
        <is>
          <t>5</t>
        </is>
      </c>
    </row>
    <row r="184">
      <c r="A184" s="32" t="inlineStr">
        <is>
          <t>F182</t>
        </is>
      </c>
      <c r="B184" s="32" t="inlineStr">
        <is>
          <t>Not started</t>
        </is>
      </c>
      <c r="C184" s="32" t="inlineStr">
        <is>
          <t>Computed</t>
        </is>
      </c>
      <c r="D184" s="32" t="inlineStr">
        <is>
          <t>Debt</t>
        </is>
      </c>
      <c r="E184" s="32" t="inlineStr">
        <is>
          <t>Computed results</t>
        </is>
      </c>
      <c r="F184" s="32" t="inlineStr">
        <is>
          <t>Credit utilization</t>
        </is>
      </c>
      <c r="G184" s="32" t="inlineStr">
        <is>
          <t>Secondary</t>
        </is>
      </c>
      <c r="H184" s="32" t="inlineStr">
        <is>
          <t>Computed</t>
        </is>
      </c>
      <c r="I184" s="32" t="inlineStr">
        <is>
          <t>Metric unlock</t>
        </is>
      </c>
      <c r="J184" s="32" t="n"/>
      <c r="K184" s="32" t="inlineStr">
        <is>
          <t>Computed</t>
        </is>
      </c>
      <c r="L184" s="32" t="n"/>
      <c r="M184" s="32" t="inlineStr">
        <is>
          <t>Computed</t>
        </is>
      </c>
      <c r="N184" s="32" t="inlineStr">
        <is>
          <t>High</t>
        </is>
      </c>
      <c r="O184" s="32" t="n"/>
      <c r="P184" s="32" t="inlineStr">
        <is>
          <t>Now</t>
        </is>
      </c>
      <c r="Q184" s="32" t="n"/>
      <c r="S184" s="10" t="inlineStr">
        <is>
          <t>My Money › Debt</t>
        </is>
      </c>
      <c r="T184" s="10" t="inlineStr">
        <is>
          <t>computed</t>
        </is>
      </c>
      <c r="U184" s="10" t="inlineStr"/>
      <c r="V184" s="33" t="inlineStr">
        <is>
          <t>5</t>
        </is>
      </c>
    </row>
    <row r="185">
      <c r="A185" s="32" t="inlineStr">
        <is>
          <t>F183</t>
        </is>
      </c>
      <c r="B185" s="32" t="inlineStr">
        <is>
          <t>Not started</t>
        </is>
      </c>
      <c r="C185" s="32" t="inlineStr">
        <is>
          <t>Computed</t>
        </is>
      </c>
      <c r="D185" s="32" t="inlineStr">
        <is>
          <t>Debt</t>
        </is>
      </c>
      <c r="E185" s="32" t="inlineStr">
        <is>
          <t>Computed results</t>
        </is>
      </c>
      <c r="F185" s="32" t="inlineStr">
        <is>
          <t>Payoff order (avalanche, snowball, stress-weighted)</t>
        </is>
      </c>
      <c r="G185" s="32" t="inlineStr">
        <is>
          <t>Secondary</t>
        </is>
      </c>
      <c r="H185" s="32" t="inlineStr">
        <is>
          <t>Computed</t>
        </is>
      </c>
      <c r="I185" s="32" t="inlineStr">
        <is>
          <t>Recommended order with toggle</t>
        </is>
      </c>
      <c r="J185" s="32" t="n"/>
      <c r="K185" s="32" t="inlineStr">
        <is>
          <t>Computed</t>
        </is>
      </c>
      <c r="L185" s="32" t="n"/>
      <c r="M185" s="32" t="inlineStr">
        <is>
          <t>Computed</t>
        </is>
      </c>
      <c r="N185" s="32" t="inlineStr">
        <is>
          <t>High</t>
        </is>
      </c>
      <c r="O185" s="32" t="n"/>
      <c r="P185" s="32" t="inlineStr">
        <is>
          <t>Now</t>
        </is>
      </c>
      <c r="Q185" s="32" t="n"/>
      <c r="S185" s="10" t="inlineStr">
        <is>
          <t>My Money › Debt</t>
        </is>
      </c>
      <c r="T185" s="10" t="inlineStr">
        <is>
          <t>computed</t>
        </is>
      </c>
      <c r="U185" s="10" t="inlineStr"/>
      <c r="V185" s="33" t="inlineStr">
        <is>
          <t>5</t>
        </is>
      </c>
    </row>
    <row r="186">
      <c r="A186" s="32" t="inlineStr">
        <is>
          <t>F184</t>
        </is>
      </c>
      <c r="B186" s="32" t="inlineStr">
        <is>
          <t>Not started</t>
        </is>
      </c>
      <c r="C186" s="32" t="inlineStr">
        <is>
          <t>Fast Track</t>
        </is>
      </c>
      <c r="D186" s="32" t="inlineStr">
        <is>
          <t>Assets</t>
        </is>
      </c>
      <c r="E186" s="32" t="inlineStr">
        <is>
          <t>Cash</t>
        </is>
      </c>
      <c r="F186" s="32" t="inlineStr">
        <is>
          <t>Checking balance</t>
        </is>
      </c>
      <c r="G186" s="32" t="inlineStr">
        <is>
          <t>Primary</t>
        </is>
      </c>
      <c r="H186" s="32" t="inlineStr">
        <is>
          <t>Amount</t>
        </is>
      </c>
      <c r="I186" s="32" t="inlineStr">
        <is>
          <t>Liquid net worth, runway</t>
        </is>
      </c>
      <c r="J186" s="32" t="inlineStr">
        <is>
          <t>Add, duplicate</t>
        </is>
      </c>
      <c r="K186" s="32" t="inlineStr">
        <is>
          <t>Client</t>
        </is>
      </c>
      <c r="L186" s="32" t="n"/>
      <c r="M186" s="32" t="inlineStr">
        <is>
          <t>All</t>
        </is>
      </c>
      <c r="N186" s="32" t="inlineStr">
        <is>
          <t>High</t>
        </is>
      </c>
      <c r="O186" s="32" t="n"/>
      <c r="P186" s="32" t="inlineStr">
        <is>
          <t>Now</t>
        </is>
      </c>
      <c r="Q186" s="32" t="n"/>
      <c r="S186" s="10" t="inlineStr">
        <is>
          <t>My Money › Assets</t>
        </is>
      </c>
      <c r="T186" s="10" t="inlineStr">
        <is>
          <t>money</t>
        </is>
      </c>
      <c r="U186" s="10" t="inlineStr"/>
      <c r="V186" s="33" t="inlineStr">
        <is>
          <t>5</t>
        </is>
      </c>
    </row>
    <row r="187">
      <c r="A187" s="32" t="inlineStr">
        <is>
          <t>F185</t>
        </is>
      </c>
      <c r="B187" s="32" t="inlineStr">
        <is>
          <t>Not started</t>
        </is>
      </c>
      <c r="C187" s="32" t="inlineStr">
        <is>
          <t>Fast Track</t>
        </is>
      </c>
      <c r="D187" s="32" t="inlineStr">
        <is>
          <t>Assets</t>
        </is>
      </c>
      <c r="E187" s="32" t="inlineStr">
        <is>
          <t>Cash</t>
        </is>
      </c>
      <c r="F187" s="32" t="inlineStr">
        <is>
          <t>Savings or HYSA balance</t>
        </is>
      </c>
      <c r="G187" s="32" t="inlineStr">
        <is>
          <t>Primary</t>
        </is>
      </c>
      <c r="H187" s="32" t="inlineStr">
        <is>
          <t>Amount</t>
        </is>
      </c>
      <c r="I187" s="32" t="inlineStr">
        <is>
          <t>Emergency fund vs Rule of 5</t>
        </is>
      </c>
      <c r="J187" s="32" t="inlineStr">
        <is>
          <t>Add, duplicate</t>
        </is>
      </c>
      <c r="K187" s="32" t="inlineStr">
        <is>
          <t>Client</t>
        </is>
      </c>
      <c r="L187" s="32" t="n"/>
      <c r="M187" s="32" t="inlineStr">
        <is>
          <t>All</t>
        </is>
      </c>
      <c r="N187" s="32" t="inlineStr">
        <is>
          <t>High</t>
        </is>
      </c>
      <c r="O187" s="32" t="n"/>
      <c r="P187" s="32" t="inlineStr">
        <is>
          <t>Now</t>
        </is>
      </c>
      <c r="Q187" s="32" t="n"/>
      <c r="S187" s="10" t="inlineStr">
        <is>
          <t>My Money › Assets</t>
        </is>
      </c>
      <c r="T187" s="10" t="inlineStr">
        <is>
          <t>money</t>
        </is>
      </c>
      <c r="U187" s="10" t="inlineStr"/>
      <c r="V187" s="33" t="inlineStr">
        <is>
          <t>5</t>
        </is>
      </c>
    </row>
    <row r="188">
      <c r="A188" s="32" t="inlineStr">
        <is>
          <t>F186</t>
        </is>
      </c>
      <c r="B188" s="32" t="inlineStr">
        <is>
          <t>Not started</t>
        </is>
      </c>
      <c r="C188" s="32" t="inlineStr">
        <is>
          <t>Session 1</t>
        </is>
      </c>
      <c r="D188" s="32" t="inlineStr">
        <is>
          <t>Assets</t>
        </is>
      </c>
      <c r="E188" s="32" t="inlineStr">
        <is>
          <t>Cash</t>
        </is>
      </c>
      <c r="F188" s="32" t="inlineStr">
        <is>
          <t>Institution</t>
        </is>
      </c>
      <c r="G188" s="32" t="inlineStr">
        <is>
          <t>Secondary</t>
        </is>
      </c>
      <c r="H188" s="32" t="inlineStr">
        <is>
          <t>Type-and-pick</t>
        </is>
      </c>
      <c r="I188" s="32" t="inlineStr">
        <is>
          <t>Labels the row</t>
        </is>
      </c>
      <c r="J188" s="32" t="inlineStr">
        <is>
          <t>Add, duplicate</t>
        </is>
      </c>
      <c r="K188" s="32" t="inlineStr">
        <is>
          <t>Client</t>
        </is>
      </c>
      <c r="L188" s="32" t="n"/>
      <c r="M188" s="32" t="inlineStr">
        <is>
          <t>All</t>
        </is>
      </c>
      <c r="N188" s="32" t="inlineStr">
        <is>
          <t>Low</t>
        </is>
      </c>
      <c r="O188" s="32" t="n"/>
      <c r="P188" s="32" t="inlineStr">
        <is>
          <t>Now</t>
        </is>
      </c>
      <c r="Q188" s="32" t="n"/>
      <c r="S188" s="10" t="inlineStr">
        <is>
          <t>My Money › Assets</t>
        </is>
      </c>
      <c r="T188" s="10" t="inlineStr">
        <is>
          <t>choice</t>
        </is>
      </c>
      <c r="U188" s="10" t="inlineStr"/>
      <c r="V188" s="33" t="inlineStr">
        <is>
          <t>5</t>
        </is>
      </c>
    </row>
    <row r="189">
      <c r="A189" s="32" t="inlineStr">
        <is>
          <t>F187</t>
        </is>
      </c>
      <c r="B189" s="32" t="inlineStr">
        <is>
          <t>Not started</t>
        </is>
      </c>
      <c r="C189" s="32" t="inlineStr">
        <is>
          <t>Session 1</t>
        </is>
      </c>
      <c r="D189" s="32" t="inlineStr">
        <is>
          <t>Assets</t>
        </is>
      </c>
      <c r="E189" s="32" t="inlineStr">
        <is>
          <t>Cash</t>
        </is>
      </c>
      <c r="F189" s="32" t="inlineStr">
        <is>
          <t>Interest rate (APY)</t>
        </is>
      </c>
      <c r="G189" s="32" t="inlineStr">
        <is>
          <t>Secondary</t>
        </is>
      </c>
      <c r="H189" s="32" t="inlineStr">
        <is>
          <t>Percent</t>
        </is>
      </c>
      <c r="I189" s="32" t="inlineStr">
        <is>
          <t>Idle cash cost, small win</t>
        </is>
      </c>
      <c r="J189" s="32" t="inlineStr">
        <is>
          <t>Add, duplicate</t>
        </is>
      </c>
      <c r="K189" s="32" t="inlineStr">
        <is>
          <t>Client</t>
        </is>
      </c>
      <c r="L189" s="32" t="n"/>
      <c r="M189" s="32" t="inlineStr">
        <is>
          <t>All</t>
        </is>
      </c>
      <c r="N189" s="32" t="inlineStr">
        <is>
          <t>Low</t>
        </is>
      </c>
      <c r="O189" s="32" t="n"/>
      <c r="P189" s="32" t="inlineStr">
        <is>
          <t>Now</t>
        </is>
      </c>
      <c r="Q189" s="32" t="n"/>
      <c r="S189" s="10" t="inlineStr">
        <is>
          <t>My Money › Assets</t>
        </is>
      </c>
      <c r="T189" s="10" t="inlineStr">
        <is>
          <t>percent</t>
        </is>
      </c>
      <c r="U189" s="10" t="inlineStr"/>
      <c r="V189" s="33" t="inlineStr">
        <is>
          <t>5</t>
        </is>
      </c>
    </row>
    <row r="190">
      <c r="A190" s="32" t="inlineStr">
        <is>
          <t>F188</t>
        </is>
      </c>
      <c r="B190" s="32" t="inlineStr">
        <is>
          <t>Not started</t>
        </is>
      </c>
      <c r="C190" s="32" t="inlineStr">
        <is>
          <t>Session 1</t>
        </is>
      </c>
      <c r="D190" s="32" t="inlineStr">
        <is>
          <t>Assets</t>
        </is>
      </c>
      <c r="E190" s="32" t="inlineStr">
        <is>
          <t>Cash</t>
        </is>
      </c>
      <c r="F190" s="32" t="inlineStr">
        <is>
          <t>Purpose bucket</t>
        </is>
      </c>
      <c r="G190" s="32" t="inlineStr">
        <is>
          <t>Secondary</t>
        </is>
      </c>
      <c r="H190" s="32" t="inlineStr">
        <is>
          <t>Pick: emergency, sinking fund, goal, general</t>
        </is>
      </c>
      <c r="I190" s="32" t="inlineStr">
        <is>
          <t>Routes money to goals</t>
        </is>
      </c>
      <c r="J190" s="32" t="inlineStr">
        <is>
          <t>Add, duplicate</t>
        </is>
      </c>
      <c r="K190" s="32" t="inlineStr">
        <is>
          <t>Client</t>
        </is>
      </c>
      <c r="L190" s="32" t="n"/>
      <c r="M190" s="32" t="inlineStr">
        <is>
          <t>All</t>
        </is>
      </c>
      <c r="N190" s="32" t="inlineStr">
        <is>
          <t>Medium</t>
        </is>
      </c>
      <c r="O190" s="32" t="n"/>
      <c r="P190" s="32" t="inlineStr">
        <is>
          <t>Now</t>
        </is>
      </c>
      <c r="Q190" s="32" t="n"/>
      <c r="S190" s="10" t="inlineStr">
        <is>
          <t>My Money › Assets</t>
        </is>
      </c>
      <c r="T190" s="10" t="inlineStr">
        <is>
          <t>choice</t>
        </is>
      </c>
      <c r="U190" s="10" t="inlineStr">
        <is>
          <t>emergency, sinking fund, goal, general</t>
        </is>
      </c>
      <c r="V190" s="33" t="inlineStr">
        <is>
          <t>5</t>
        </is>
      </c>
    </row>
    <row r="191">
      <c r="A191" s="32" t="inlineStr">
        <is>
          <t>F189</t>
        </is>
      </c>
      <c r="B191" s="32" t="inlineStr">
        <is>
          <t>Not started</t>
        </is>
      </c>
      <c r="C191" s="32" t="inlineStr">
        <is>
          <t>Fast Track</t>
        </is>
      </c>
      <c r="D191" s="32" t="inlineStr">
        <is>
          <t>Assets</t>
        </is>
      </c>
      <c r="E191" s="32" t="inlineStr">
        <is>
          <t>Investments</t>
        </is>
      </c>
      <c r="F191" s="32" t="inlineStr">
        <is>
          <t>Account type</t>
        </is>
      </c>
      <c r="G191" s="32" t="inlineStr">
        <is>
          <t>Primary</t>
        </is>
      </c>
      <c r="H191" s="32" t="inlineStr">
        <is>
          <t>Type-and-pick: 401(k), 403(b), 457, TSP, Roth IRA, Traditional IRA, Rollover IRA, SEP or Solo 401(k), HSA, 529, Taxable brokerage, Crypto</t>
        </is>
      </c>
      <c r="I191" s="32" t="inlineStr">
        <is>
          <t>Tax bucket and the fields unique to that type</t>
        </is>
      </c>
      <c r="J191" s="32" t="inlineStr">
        <is>
          <t>Add, duplicate. Each account type carries its own unique fields (Oct 27)</t>
        </is>
      </c>
      <c r="K191" s="32" t="inlineStr">
        <is>
          <t>Client</t>
        </is>
      </c>
      <c r="L191" s="32" t="n"/>
      <c r="M191" s="32" t="inlineStr">
        <is>
          <t>All</t>
        </is>
      </c>
      <c r="N191" s="32" t="inlineStr">
        <is>
          <t>High</t>
        </is>
      </c>
      <c r="O191" s="32" t="inlineStr">
        <is>
          <t>Yes</t>
        </is>
      </c>
      <c r="P191" s="32" t="inlineStr">
        <is>
          <t>Now</t>
        </is>
      </c>
      <c r="Q191" s="32" t="n"/>
      <c r="S191" s="10" t="inlineStr">
        <is>
          <t>My Money › Assets</t>
        </is>
      </c>
      <c r="T191" s="10" t="inlineStr">
        <is>
          <t>choice</t>
        </is>
      </c>
      <c r="U191" s="10" t="inlineStr">
        <is>
          <t>401(k), 403(b), 457, TSP, Roth IRA, Traditional IRA, Rollover IRA, SEP or Solo 401(k), HSA, 529, Taxable brokerage, Crypto</t>
        </is>
      </c>
      <c r="V191" s="33" t="inlineStr">
        <is>
          <t>5</t>
        </is>
      </c>
    </row>
    <row r="192">
      <c r="A192" s="32" t="inlineStr">
        <is>
          <t>F190</t>
        </is>
      </c>
      <c r="B192" s="32" t="inlineStr">
        <is>
          <t>Not started</t>
        </is>
      </c>
      <c r="C192" s="32" t="inlineStr">
        <is>
          <t>Fast Track</t>
        </is>
      </c>
      <c r="D192" s="32" t="inlineStr">
        <is>
          <t>Assets</t>
        </is>
      </c>
      <c r="E192" s="32" t="inlineStr">
        <is>
          <t>Investments</t>
        </is>
      </c>
      <c r="F192" s="32" t="inlineStr">
        <is>
          <t>Balance</t>
        </is>
      </c>
      <c r="G192" s="32" t="inlineStr">
        <is>
          <t>Primary</t>
        </is>
      </c>
      <c r="H192" s="32" t="inlineStr">
        <is>
          <t>Amount</t>
        </is>
      </c>
      <c r="I192" s="32" t="inlineStr">
        <is>
          <t>Net worth, FI progress</t>
        </is>
      </c>
      <c r="J192" s="32" t="inlineStr">
        <is>
          <t>Add, duplicate. Each account type carries its own unique fields (Oct 27)</t>
        </is>
      </c>
      <c r="K192" s="32" t="inlineStr">
        <is>
          <t>Client</t>
        </is>
      </c>
      <c r="L192" s="32" t="n"/>
      <c r="M192" s="32" t="inlineStr">
        <is>
          <t>All</t>
        </is>
      </c>
      <c r="N192" s="32" t="inlineStr">
        <is>
          <t>High</t>
        </is>
      </c>
      <c r="O192" s="32" t="n"/>
      <c r="P192" s="32" t="inlineStr">
        <is>
          <t>Now</t>
        </is>
      </c>
      <c r="Q192" s="32" t="n"/>
      <c r="S192" s="10" t="inlineStr">
        <is>
          <t>My Money › Assets</t>
        </is>
      </c>
      <c r="T192" s="10" t="inlineStr">
        <is>
          <t>money</t>
        </is>
      </c>
      <c r="U192" s="10" t="inlineStr"/>
      <c r="V192" s="33" t="inlineStr">
        <is>
          <t>5</t>
        </is>
      </c>
    </row>
    <row r="193">
      <c r="A193" s="32" t="inlineStr">
        <is>
          <t>F191</t>
        </is>
      </c>
      <c r="B193" s="32" t="inlineStr">
        <is>
          <t>Not started</t>
        </is>
      </c>
      <c r="C193" s="32" t="inlineStr">
        <is>
          <t>Session 1</t>
        </is>
      </c>
      <c r="D193" s="32" t="inlineStr">
        <is>
          <t>Assets</t>
        </is>
      </c>
      <c r="E193" s="32" t="inlineStr">
        <is>
          <t>Investments</t>
        </is>
      </c>
      <c r="F193" s="32" t="inlineStr">
        <is>
          <t>Institution</t>
        </is>
      </c>
      <c r="G193" s="32" t="inlineStr">
        <is>
          <t>Secondary</t>
        </is>
      </c>
      <c r="H193" s="32" t="inlineStr">
        <is>
          <t>Type-and-pick</t>
        </is>
      </c>
      <c r="I193" s="32" t="inlineStr">
        <is>
          <t>Where to look</t>
        </is>
      </c>
      <c r="J193" s="32" t="inlineStr">
        <is>
          <t>Add, duplicate. Each account type carries its own unique fields (Oct 27)</t>
        </is>
      </c>
      <c r="K193" s="32" t="inlineStr">
        <is>
          <t>Client</t>
        </is>
      </c>
      <c r="L193" s="32" t="inlineStr">
        <is>
          <t>Often</t>
        </is>
      </c>
      <c r="M193" s="32" t="inlineStr">
        <is>
          <t>All</t>
        </is>
      </c>
      <c r="N193" s="32" t="inlineStr">
        <is>
          <t>Low</t>
        </is>
      </c>
      <c r="O193" s="32" t="n"/>
      <c r="P193" s="32" t="inlineStr">
        <is>
          <t>Now</t>
        </is>
      </c>
      <c r="Q193" s="32" t="n"/>
      <c r="S193" s="10" t="inlineStr">
        <is>
          <t>My Money › Assets</t>
        </is>
      </c>
      <c r="T193" s="10" t="inlineStr">
        <is>
          <t>choice</t>
        </is>
      </c>
      <c r="U193" s="10" t="inlineStr"/>
      <c r="V193" s="33" t="inlineStr">
        <is>
          <t>5</t>
        </is>
      </c>
    </row>
    <row r="194">
      <c r="A194" s="32" t="inlineStr">
        <is>
          <t>F192</t>
        </is>
      </c>
      <c r="B194" s="32" t="inlineStr">
        <is>
          <t>Not started</t>
        </is>
      </c>
      <c r="C194" s="32" t="inlineStr">
        <is>
          <t>Session 1</t>
        </is>
      </c>
      <c r="D194" s="32" t="inlineStr">
        <is>
          <t>Assets</t>
        </is>
      </c>
      <c r="E194" s="32" t="inlineStr">
        <is>
          <t>Investments</t>
        </is>
      </c>
      <c r="F194" s="32" t="inlineStr">
        <is>
          <t>Contributions (per paycheck or year)</t>
        </is>
      </c>
      <c r="G194" s="32" t="inlineStr">
        <is>
          <t>Secondary</t>
        </is>
      </c>
      <c r="H194" s="32" t="inlineStr">
        <is>
          <t>Amount plus 'per' picker</t>
        </is>
      </c>
      <c r="I194" s="32" t="inlineStr">
        <is>
          <t>Savings rate, limit waterfall</t>
        </is>
      </c>
      <c r="J194" s="32" t="inlineStr">
        <is>
          <t>Add, duplicate. Each account type carries its own unique fields (Oct 27)</t>
        </is>
      </c>
      <c r="K194" s="32" t="inlineStr">
        <is>
          <t>Client</t>
        </is>
      </c>
      <c r="L194" s="32" t="inlineStr">
        <is>
          <t>Often</t>
        </is>
      </c>
      <c r="M194" s="32" t="inlineStr">
        <is>
          <t>All</t>
        </is>
      </c>
      <c r="N194" s="32" t="inlineStr">
        <is>
          <t>High</t>
        </is>
      </c>
      <c r="O194" s="32" t="n"/>
      <c r="P194" s="32" t="inlineStr">
        <is>
          <t>Now</t>
        </is>
      </c>
      <c r="Q194" s="32" t="n"/>
      <c r="S194" s="10" t="inlineStr">
        <is>
          <t>My Money › Assets</t>
        </is>
      </c>
      <c r="T194" s="10" t="inlineStr">
        <is>
          <t>money</t>
        </is>
      </c>
      <c r="U194" s="10" t="inlineStr"/>
      <c r="V194" s="33" t="inlineStr">
        <is>
          <t>5</t>
        </is>
      </c>
    </row>
    <row r="195">
      <c r="A195" s="32" t="inlineStr">
        <is>
          <t>F193</t>
        </is>
      </c>
      <c r="B195" s="32" t="inlineStr">
        <is>
          <t>Not started</t>
        </is>
      </c>
      <c r="C195" s="32" t="inlineStr">
        <is>
          <t>Session 1</t>
        </is>
      </c>
      <c r="D195" s="32" t="inlineStr">
        <is>
          <t>Assets</t>
        </is>
      </c>
      <c r="E195" s="32" t="inlineStr">
        <is>
          <t>Investments</t>
        </is>
      </c>
      <c r="F195" s="32" t="inlineStr">
        <is>
          <t>Pretax or Roth</t>
        </is>
      </c>
      <c r="G195" s="32" t="inlineStr">
        <is>
          <t>Secondary</t>
        </is>
      </c>
      <c r="H195" s="32" t="inlineStr">
        <is>
          <t>Toggle (some accounts have both)</t>
        </is>
      </c>
      <c r="I195" s="32" t="inlineStr">
        <is>
          <t>True FI after tax</t>
        </is>
      </c>
      <c r="J195" s="32" t="inlineStr">
        <is>
          <t>Add, duplicate. Each account type carries its own unique fields (Oct 27)</t>
        </is>
      </c>
      <c r="K195" s="32" t="inlineStr">
        <is>
          <t>Client</t>
        </is>
      </c>
      <c r="L195" s="32" t="inlineStr">
        <is>
          <t>Often</t>
        </is>
      </c>
      <c r="M195" s="32" t="inlineStr">
        <is>
          <t>All</t>
        </is>
      </c>
      <c r="N195" s="32" t="inlineStr">
        <is>
          <t>High</t>
        </is>
      </c>
      <c r="O195" s="32" t="n"/>
      <c r="P195" s="32" t="inlineStr">
        <is>
          <t>Now</t>
        </is>
      </c>
      <c r="Q195" s="32" t="n"/>
      <c r="S195" s="10" t="inlineStr">
        <is>
          <t>My Money › Assets</t>
        </is>
      </c>
      <c r="T195" s="10" t="inlineStr">
        <is>
          <t>choice</t>
        </is>
      </c>
      <c r="U195" s="10" t="inlineStr"/>
      <c r="V195" s="33" t="inlineStr">
        <is>
          <t>5</t>
        </is>
      </c>
    </row>
    <row r="196">
      <c r="A196" s="32" t="inlineStr">
        <is>
          <t>F194</t>
        </is>
      </c>
      <c r="B196" s="32" t="inlineStr">
        <is>
          <t>Not started</t>
        </is>
      </c>
      <c r="C196" s="32" t="inlineStr">
        <is>
          <t>Session 1</t>
        </is>
      </c>
      <c r="D196" s="32" t="inlineStr">
        <is>
          <t>Assets</t>
        </is>
      </c>
      <c r="E196" s="32" t="inlineStr">
        <is>
          <t>Investments</t>
        </is>
      </c>
      <c r="F196" s="32" t="inlineStr">
        <is>
          <t>Stocks vs bonds split</t>
        </is>
      </c>
      <c r="G196" s="32" t="inlineStr">
        <is>
          <t>Secondary</t>
        </is>
      </c>
      <c r="H196" s="32" t="inlineStr">
        <is>
          <t>Slider</t>
        </is>
      </c>
      <c r="I196" s="32" t="inlineStr">
        <is>
          <t>Return assumption per account</t>
        </is>
      </c>
      <c r="J196" s="32" t="inlineStr">
        <is>
          <t>Add, duplicate. Each account type carries its own unique fields (Oct 27)</t>
        </is>
      </c>
      <c r="K196" s="32" t="inlineStr">
        <is>
          <t>Client</t>
        </is>
      </c>
      <c r="L196" s="32" t="inlineStr">
        <is>
          <t>Often</t>
        </is>
      </c>
      <c r="M196" s="32" t="inlineStr">
        <is>
          <t>All</t>
        </is>
      </c>
      <c r="N196" s="32" t="inlineStr">
        <is>
          <t>Medium</t>
        </is>
      </c>
      <c r="O196" s="32" t="n"/>
      <c r="P196" s="32" t="inlineStr">
        <is>
          <t>Now</t>
        </is>
      </c>
      <c r="Q196" s="32" t="n"/>
      <c r="S196" s="10" t="inlineStr">
        <is>
          <t>My Money › Assets</t>
        </is>
      </c>
      <c r="T196" s="10" t="inlineStr">
        <is>
          <t>text</t>
        </is>
      </c>
      <c r="U196" s="10" t="inlineStr"/>
      <c r="V196" s="33" t="inlineStr">
        <is>
          <t>5</t>
        </is>
      </c>
    </row>
    <row r="197">
      <c r="A197" s="32" t="inlineStr">
        <is>
          <t>F195</t>
        </is>
      </c>
      <c r="B197" s="32" t="inlineStr">
        <is>
          <t>Not started</t>
        </is>
      </c>
      <c r="C197" s="32" t="inlineStr">
        <is>
          <t>Session 2+</t>
        </is>
      </c>
      <c r="D197" s="32" t="inlineStr">
        <is>
          <t>Assets</t>
        </is>
      </c>
      <c r="E197" s="32" t="inlineStr">
        <is>
          <t>Investments</t>
        </is>
      </c>
      <c r="F197" s="32" t="inlineStr">
        <is>
          <t>Holdings or index funds</t>
        </is>
      </c>
      <c r="G197" s="32" t="inlineStr">
        <is>
          <t>Tertiary</t>
        </is>
      </c>
      <c r="H197" s="32" t="inlineStr">
        <is>
          <t>Type-and-pick tickers</t>
        </is>
      </c>
      <c r="I197" s="32" t="inlineStr">
        <is>
          <t>Fees and overlap</t>
        </is>
      </c>
      <c r="J197" s="32" t="inlineStr">
        <is>
          <t>Add, duplicate. Each account type carries its own unique fields (Oct 27)</t>
        </is>
      </c>
      <c r="K197" s="32" t="inlineStr">
        <is>
          <t>Client</t>
        </is>
      </c>
      <c r="L197" s="32" t="inlineStr">
        <is>
          <t>Often</t>
        </is>
      </c>
      <c r="M197" s="32" t="inlineStr">
        <is>
          <t>All</t>
        </is>
      </c>
      <c r="N197" s="32" t="inlineStr">
        <is>
          <t>Low</t>
        </is>
      </c>
      <c r="O197" s="32" t="n"/>
      <c r="P197" s="32" t="inlineStr">
        <is>
          <t>Now</t>
        </is>
      </c>
      <c r="Q197" s="32" t="n"/>
      <c r="S197" s="10" t="inlineStr">
        <is>
          <t>My Money › Assets</t>
        </is>
      </c>
      <c r="T197" s="10" t="inlineStr">
        <is>
          <t>choice</t>
        </is>
      </c>
      <c r="U197" s="10" t="inlineStr"/>
      <c r="V197" s="33" t="inlineStr">
        <is>
          <t>5</t>
        </is>
      </c>
    </row>
    <row r="198">
      <c r="A198" s="32" t="inlineStr">
        <is>
          <t>F196</t>
        </is>
      </c>
      <c r="B198" s="32" t="inlineStr">
        <is>
          <t>Not started</t>
        </is>
      </c>
      <c r="C198" s="32" t="inlineStr">
        <is>
          <t>Session 2+</t>
        </is>
      </c>
      <c r="D198" s="32" t="inlineStr">
        <is>
          <t>Assets</t>
        </is>
      </c>
      <c r="E198" s="32" t="inlineStr">
        <is>
          <t>Investments</t>
        </is>
      </c>
      <c r="F198" s="32" t="inlineStr">
        <is>
          <t>Fees (expense ratio, advisory fee)</t>
        </is>
      </c>
      <c r="G198" s="32" t="inlineStr">
        <is>
          <t>Tertiary</t>
        </is>
      </c>
      <c r="H198" s="32" t="inlineStr">
        <is>
          <t>Percent</t>
        </is>
      </c>
      <c r="I198" s="32" t="inlineStr">
        <is>
          <t>Fee drag over time</t>
        </is>
      </c>
      <c r="J198" s="32" t="inlineStr">
        <is>
          <t>Add, duplicate. Each account type carries its own unique fields (Oct 27)</t>
        </is>
      </c>
      <c r="K198" s="32" t="inlineStr">
        <is>
          <t>Client</t>
        </is>
      </c>
      <c r="L198" s="32" t="inlineStr">
        <is>
          <t>Often</t>
        </is>
      </c>
      <c r="M198" s="32" t="inlineStr">
        <is>
          <t>All</t>
        </is>
      </c>
      <c r="N198" s="32" t="inlineStr">
        <is>
          <t>Medium</t>
        </is>
      </c>
      <c r="O198" s="32" t="n"/>
      <c r="P198" s="32" t="inlineStr">
        <is>
          <t>Now</t>
        </is>
      </c>
      <c r="Q198" s="32" t="n"/>
      <c r="S198" s="10" t="inlineStr">
        <is>
          <t>My Money › Assets</t>
        </is>
      </c>
      <c r="T198" s="10" t="inlineStr">
        <is>
          <t>percent</t>
        </is>
      </c>
      <c r="U198" s="10" t="inlineStr"/>
      <c r="V198" s="33" t="inlineStr">
        <is>
          <t>5</t>
        </is>
      </c>
    </row>
    <row r="199">
      <c r="A199" s="32" t="inlineStr">
        <is>
          <t>F197</t>
        </is>
      </c>
      <c r="B199" s="32" t="inlineStr">
        <is>
          <t>Not started</t>
        </is>
      </c>
      <c r="C199" s="32" t="inlineStr">
        <is>
          <t>Session 2+</t>
        </is>
      </c>
      <c r="D199" s="32" t="inlineStr">
        <is>
          <t>Assets</t>
        </is>
      </c>
      <c r="E199" s="32" t="inlineStr">
        <is>
          <t>Investments</t>
        </is>
      </c>
      <c r="F199" s="32" t="inlineStr">
        <is>
          <t>Cost basis</t>
        </is>
      </c>
      <c r="G199" s="32" t="inlineStr">
        <is>
          <t>Tertiary</t>
        </is>
      </c>
      <c r="H199" s="32" t="inlineStr">
        <is>
          <t>Amount</t>
        </is>
      </c>
      <c r="I199" s="32" t="inlineStr">
        <is>
          <t>Taxable accounts only. Tax on sale</t>
        </is>
      </c>
      <c r="J199" s="32" t="inlineStr">
        <is>
          <t>Add, duplicate. Each account type carries its own unique fields (Oct 27)</t>
        </is>
      </c>
      <c r="K199" s="32" t="inlineStr">
        <is>
          <t>Client</t>
        </is>
      </c>
      <c r="L199" s="32" t="inlineStr">
        <is>
          <t>Often</t>
        </is>
      </c>
      <c r="M199" s="32" t="inlineStr">
        <is>
          <t>All</t>
        </is>
      </c>
      <c r="N199" s="32" t="inlineStr">
        <is>
          <t>Low</t>
        </is>
      </c>
      <c r="O199" s="32" t="n"/>
      <c r="P199" s="32" t="inlineStr">
        <is>
          <t>Now</t>
        </is>
      </c>
      <c r="Q199" s="32" t="n"/>
      <c r="S199" s="10" t="inlineStr">
        <is>
          <t>My Money › Assets</t>
        </is>
      </c>
      <c r="T199" s="10" t="inlineStr">
        <is>
          <t>money</t>
        </is>
      </c>
      <c r="U199" s="10" t="inlineStr"/>
      <c r="V199" s="33" t="inlineStr">
        <is>
          <t>5</t>
        </is>
      </c>
    </row>
    <row r="200">
      <c r="A200" s="32" t="inlineStr">
        <is>
          <t>F198</t>
        </is>
      </c>
      <c r="B200" s="32" t="inlineStr">
        <is>
          <t>Not started</t>
        </is>
      </c>
      <c r="C200" s="32" t="inlineStr">
        <is>
          <t>Session 2+</t>
        </is>
      </c>
      <c r="D200" s="32" t="inlineStr">
        <is>
          <t>Assets</t>
        </is>
      </c>
      <c r="E200" s="32" t="inlineStr">
        <is>
          <t>Investments</t>
        </is>
      </c>
      <c r="F200" s="32" t="inlineStr">
        <is>
          <t>Roth contributions basis</t>
        </is>
      </c>
      <c r="G200" s="32" t="inlineStr">
        <is>
          <t>Tertiary</t>
        </is>
      </c>
      <c r="H200" s="32" t="inlineStr">
        <is>
          <t>Amount</t>
        </is>
      </c>
      <c r="I200" s="32" t="inlineStr">
        <is>
          <t>What you can pull early penalty-free</t>
        </is>
      </c>
      <c r="J200" s="32" t="inlineStr">
        <is>
          <t>Add, duplicate. Each account type carries its own unique fields (Oct 27)</t>
        </is>
      </c>
      <c r="K200" s="32" t="inlineStr">
        <is>
          <t>Client</t>
        </is>
      </c>
      <c r="L200" s="32" t="inlineStr">
        <is>
          <t>Often</t>
        </is>
      </c>
      <c r="M200" s="32" t="inlineStr">
        <is>
          <t>All</t>
        </is>
      </c>
      <c r="N200" s="32" t="inlineStr">
        <is>
          <t>Medium</t>
        </is>
      </c>
      <c r="O200" s="32" t="n"/>
      <c r="P200" s="32" t="inlineStr">
        <is>
          <t>Now</t>
        </is>
      </c>
      <c r="Q200" s="32" t="n"/>
      <c r="S200" s="10" t="inlineStr">
        <is>
          <t>My Money › Assets</t>
        </is>
      </c>
      <c r="T200" s="10" t="inlineStr">
        <is>
          <t>money</t>
        </is>
      </c>
      <c r="U200" s="10" t="inlineStr"/>
      <c r="V200" s="33" t="inlineStr">
        <is>
          <t>5</t>
        </is>
      </c>
    </row>
    <row r="201">
      <c r="A201" s="32" t="inlineStr">
        <is>
          <t>F199</t>
        </is>
      </c>
      <c r="B201" s="32" t="inlineStr">
        <is>
          <t>Not started</t>
        </is>
      </c>
      <c r="C201" s="32" t="inlineStr">
        <is>
          <t>Session 2+</t>
        </is>
      </c>
      <c r="D201" s="32" t="inlineStr">
        <is>
          <t>Assets</t>
        </is>
      </c>
      <c r="E201" s="32" t="inlineStr">
        <is>
          <t>Investments</t>
        </is>
      </c>
      <c r="F201" s="32" t="inlineStr">
        <is>
          <t>HSA invested vs cash</t>
        </is>
      </c>
      <c r="G201" s="32" t="inlineStr">
        <is>
          <t>Tertiary</t>
        </is>
      </c>
      <c r="H201" s="32" t="inlineStr">
        <is>
          <t>Two amounts</t>
        </is>
      </c>
      <c r="I201" s="32" t="inlineStr">
        <is>
          <t>HSA as stealth retirement</t>
        </is>
      </c>
      <c r="J201" s="32" t="inlineStr">
        <is>
          <t>Add, duplicate. Each account type carries its own unique fields (Oct 27)</t>
        </is>
      </c>
      <c r="K201" s="32" t="inlineStr">
        <is>
          <t>Client</t>
        </is>
      </c>
      <c r="L201" s="32" t="inlineStr">
        <is>
          <t>Often</t>
        </is>
      </c>
      <c r="M201" s="32" t="inlineStr">
        <is>
          <t>All</t>
        </is>
      </c>
      <c r="N201" s="32" t="inlineStr">
        <is>
          <t>Low</t>
        </is>
      </c>
      <c r="O201" s="32" t="n"/>
      <c r="P201" s="32" t="inlineStr">
        <is>
          <t>Now</t>
        </is>
      </c>
      <c r="Q201" s="32" t="n"/>
      <c r="S201" s="10" t="inlineStr">
        <is>
          <t>My Money › Assets</t>
        </is>
      </c>
      <c r="T201" s="10" t="inlineStr">
        <is>
          <t>money</t>
        </is>
      </c>
      <c r="U201" s="10" t="inlineStr"/>
      <c r="V201" s="33" t="inlineStr">
        <is>
          <t>5</t>
        </is>
      </c>
    </row>
    <row r="202">
      <c r="A202" s="32" t="inlineStr">
        <is>
          <t>F200</t>
        </is>
      </c>
      <c r="B202" s="32" t="inlineStr">
        <is>
          <t>Not started</t>
        </is>
      </c>
      <c r="C202" s="32" t="inlineStr">
        <is>
          <t>Session 1</t>
        </is>
      </c>
      <c r="D202" s="32" t="inlineStr">
        <is>
          <t>Assets</t>
        </is>
      </c>
      <c r="E202" s="32" t="inlineStr">
        <is>
          <t>Investments</t>
        </is>
      </c>
      <c r="F202" s="32" t="inlineStr">
        <is>
          <t>Unvested balance</t>
        </is>
      </c>
      <c r="G202" s="32" t="inlineStr">
        <is>
          <t>Secondary</t>
        </is>
      </c>
      <c r="H202" s="32" t="inlineStr">
        <is>
          <t>Amount</t>
        </is>
      </c>
      <c r="I202" s="32" t="inlineStr">
        <is>
          <t>Shown separately but recognized</t>
        </is>
      </c>
      <c r="J202" s="32" t="inlineStr">
        <is>
          <t>Add, duplicate. Each account type carries its own unique fields (Oct 27)</t>
        </is>
      </c>
      <c r="K202" s="32" t="inlineStr">
        <is>
          <t>Client</t>
        </is>
      </c>
      <c r="L202" s="32" t="inlineStr">
        <is>
          <t>Often</t>
        </is>
      </c>
      <c r="M202" s="32" t="inlineStr">
        <is>
          <t>All</t>
        </is>
      </c>
      <c r="N202" s="32" t="inlineStr">
        <is>
          <t>Medium</t>
        </is>
      </c>
      <c r="O202" s="32" t="n"/>
      <c r="P202" s="32" t="inlineStr">
        <is>
          <t>Now</t>
        </is>
      </c>
      <c r="Q202" s="32" t="n"/>
      <c r="S202" s="10" t="inlineStr">
        <is>
          <t>My Money › Assets</t>
        </is>
      </c>
      <c r="T202" s="10" t="inlineStr">
        <is>
          <t>money</t>
        </is>
      </c>
      <c r="U202" s="10" t="inlineStr"/>
      <c r="V202" s="33" t="inlineStr">
        <is>
          <t>5</t>
        </is>
      </c>
    </row>
    <row r="203">
      <c r="A203" s="32" t="inlineStr">
        <is>
          <t>F201</t>
        </is>
      </c>
      <c r="B203" s="32" t="inlineStr">
        <is>
          <t>Not started</t>
        </is>
      </c>
      <c r="C203" s="32" t="inlineStr">
        <is>
          <t>Session 2+</t>
        </is>
      </c>
      <c r="D203" s="32" t="inlineStr">
        <is>
          <t>Assets</t>
        </is>
      </c>
      <c r="E203" s="32" t="inlineStr">
        <is>
          <t>Investments</t>
        </is>
      </c>
      <c r="F203" s="32" t="inlineStr">
        <is>
          <t>Beneficiary on file</t>
        </is>
      </c>
      <c r="G203" s="32" t="inlineStr">
        <is>
          <t>Tertiary</t>
        </is>
      </c>
      <c r="H203" s="32" t="inlineStr">
        <is>
          <t>Yes, no, not sure</t>
        </is>
      </c>
      <c r="I203" s="32" t="inlineStr">
        <is>
          <t>Estate basics</t>
        </is>
      </c>
      <c r="J203" s="32" t="inlineStr">
        <is>
          <t>Add, duplicate. Each account type carries its own unique fields (Oct 27)</t>
        </is>
      </c>
      <c r="K203" s="32" t="inlineStr">
        <is>
          <t>Client</t>
        </is>
      </c>
      <c r="L203" s="32" t="inlineStr">
        <is>
          <t>Often</t>
        </is>
      </c>
      <c r="M203" s="32" t="inlineStr">
        <is>
          <t>All</t>
        </is>
      </c>
      <c r="N203" s="32" t="inlineStr">
        <is>
          <t>Low</t>
        </is>
      </c>
      <c r="O203" s="32" t="n"/>
      <c r="P203" s="32" t="inlineStr">
        <is>
          <t>Later</t>
        </is>
      </c>
      <c r="Q203" s="32" t="n"/>
      <c r="S203" s="10" t="inlineStr">
        <is>
          <t>My Money › Assets</t>
        </is>
      </c>
      <c r="T203" s="10" t="inlineStr">
        <is>
          <t>choice</t>
        </is>
      </c>
      <c r="U203" s="10" t="inlineStr">
        <is>
          <t>Yes, No, Not sure</t>
        </is>
      </c>
      <c r="V203" s="33" t="inlineStr">
        <is>
          <t>5</t>
        </is>
      </c>
    </row>
    <row r="204">
      <c r="A204" s="32" t="inlineStr">
        <is>
          <t>F202</t>
        </is>
      </c>
      <c r="B204" s="32" t="inlineStr">
        <is>
          <t>Not started</t>
        </is>
      </c>
      <c r="C204" s="32" t="inlineStr">
        <is>
          <t>Fast Track</t>
        </is>
      </c>
      <c r="D204" s="32" t="inlineStr">
        <is>
          <t>Assets</t>
        </is>
      </c>
      <c r="E204" s="32" t="inlineStr">
        <is>
          <t>Real assets</t>
        </is>
      </c>
      <c r="F204" s="32" t="inlineStr">
        <is>
          <t>Car current value</t>
        </is>
      </c>
      <c r="G204" s="32" t="inlineStr">
        <is>
          <t>Primary</t>
        </is>
      </c>
      <c r="H204" s="32" t="inlineStr">
        <is>
          <t>Amount</t>
        </is>
      </c>
      <c r="I204" s="32" t="inlineStr">
        <is>
          <t>Total net worth</t>
        </is>
      </c>
      <c r="J204" s="32" t="inlineStr">
        <is>
          <t>Loan fields attach to the asset row</t>
        </is>
      </c>
      <c r="K204" s="32" t="inlineStr">
        <is>
          <t>Client</t>
        </is>
      </c>
      <c r="L204" s="32" t="n"/>
      <c r="M204" s="32" t="inlineStr">
        <is>
          <t>All</t>
        </is>
      </c>
      <c r="N204" s="32" t="inlineStr">
        <is>
          <t>Medium</t>
        </is>
      </c>
      <c r="O204" s="32" t="n"/>
      <c r="P204" s="32" t="inlineStr">
        <is>
          <t>Now</t>
        </is>
      </c>
      <c r="Q204" s="32" t="inlineStr">
        <is>
          <t>ProjectionLab: assets carry their own loan</t>
        </is>
      </c>
      <c r="S204" s="10" t="inlineStr">
        <is>
          <t>My Money › Assets</t>
        </is>
      </c>
      <c r="T204" s="10" t="inlineStr">
        <is>
          <t>money</t>
        </is>
      </c>
      <c r="U204" s="10" t="inlineStr"/>
      <c r="V204" s="33" t="inlineStr">
        <is>
          <t>5</t>
        </is>
      </c>
    </row>
    <row r="205">
      <c r="A205" s="32" t="inlineStr">
        <is>
          <t>F203</t>
        </is>
      </c>
      <c r="B205" s="32" t="inlineStr">
        <is>
          <t>Not started</t>
        </is>
      </c>
      <c r="C205" s="32" t="inlineStr">
        <is>
          <t>Session 1</t>
        </is>
      </c>
      <c r="D205" s="32" t="inlineStr">
        <is>
          <t>Assets</t>
        </is>
      </c>
      <c r="E205" s="32" t="inlineStr">
        <is>
          <t>Real assets</t>
        </is>
      </c>
      <c r="F205" s="32" t="inlineStr">
        <is>
          <t>Car purchase price</t>
        </is>
      </c>
      <c r="G205" s="32" t="inlineStr">
        <is>
          <t>Secondary</t>
        </is>
      </c>
      <c r="H205" s="32" t="inlineStr">
        <is>
          <t>Amount</t>
        </is>
      </c>
      <c r="I205" s="32" t="inlineStr">
        <is>
          <t>Depreciation</t>
        </is>
      </c>
      <c r="J205" s="32" t="inlineStr">
        <is>
          <t>Loan fields attach to the asset row</t>
        </is>
      </c>
      <c r="K205" s="32" t="inlineStr">
        <is>
          <t>Client</t>
        </is>
      </c>
      <c r="L205" s="32" t="n"/>
      <c r="M205" s="32" t="inlineStr">
        <is>
          <t>All</t>
        </is>
      </c>
      <c r="N205" s="32" t="inlineStr">
        <is>
          <t>Low</t>
        </is>
      </c>
      <c r="O205" s="32" t="n"/>
      <c r="P205" s="32" t="inlineStr">
        <is>
          <t>Now</t>
        </is>
      </c>
      <c r="Q205" s="32" t="inlineStr">
        <is>
          <t>ProjectionLab: assets carry their own loan</t>
        </is>
      </c>
      <c r="S205" s="10" t="inlineStr">
        <is>
          <t>My Money › Assets</t>
        </is>
      </c>
      <c r="T205" s="10" t="inlineStr">
        <is>
          <t>money</t>
        </is>
      </c>
      <c r="U205" s="10" t="inlineStr"/>
      <c r="V205" s="33" t="inlineStr">
        <is>
          <t>5</t>
        </is>
      </c>
    </row>
    <row r="206">
      <c r="A206" s="32" t="inlineStr">
        <is>
          <t>F204</t>
        </is>
      </c>
      <c r="B206" s="32" t="inlineStr">
        <is>
          <t>Not started</t>
        </is>
      </c>
      <c r="C206" s="32" t="inlineStr">
        <is>
          <t>Fast Track</t>
        </is>
      </c>
      <c r="D206" s="32" t="inlineStr">
        <is>
          <t>Assets</t>
        </is>
      </c>
      <c r="E206" s="32" t="inlineStr">
        <is>
          <t>Real assets</t>
        </is>
      </c>
      <c r="F206" s="32" t="inlineStr">
        <is>
          <t>Home current value</t>
        </is>
      </c>
      <c r="G206" s="32" t="inlineStr">
        <is>
          <t>Primary</t>
        </is>
      </c>
      <c r="H206" s="32" t="inlineStr">
        <is>
          <t>Amount</t>
        </is>
      </c>
      <c r="I206" s="32" t="inlineStr">
        <is>
          <t>Total net worth, equity</t>
        </is>
      </c>
      <c r="J206" s="32" t="inlineStr">
        <is>
          <t>Loan fields attach to the asset row</t>
        </is>
      </c>
      <c r="K206" s="32" t="inlineStr">
        <is>
          <t>Client</t>
        </is>
      </c>
      <c r="L206" s="32" t="n"/>
      <c r="M206" s="32" t="inlineStr">
        <is>
          <t>All</t>
        </is>
      </c>
      <c r="N206" s="32" t="inlineStr">
        <is>
          <t>High</t>
        </is>
      </c>
      <c r="O206" s="32" t="n"/>
      <c r="P206" s="32" t="inlineStr">
        <is>
          <t>Now</t>
        </is>
      </c>
      <c r="Q206" s="32" t="inlineStr">
        <is>
          <t>ProjectionLab: assets carry their own loan</t>
        </is>
      </c>
      <c r="S206" s="10" t="inlineStr">
        <is>
          <t>My Money › Assets</t>
        </is>
      </c>
      <c r="T206" s="10" t="inlineStr">
        <is>
          <t>money</t>
        </is>
      </c>
      <c r="U206" s="10" t="inlineStr"/>
      <c r="V206" s="33" t="inlineStr">
        <is>
          <t>5</t>
        </is>
      </c>
    </row>
    <row r="207">
      <c r="A207" s="32" t="inlineStr">
        <is>
          <t>F205</t>
        </is>
      </c>
      <c r="B207" s="32" t="inlineStr">
        <is>
          <t>Not started</t>
        </is>
      </c>
      <c r="C207" s="32" t="inlineStr">
        <is>
          <t>Session 1</t>
        </is>
      </c>
      <c r="D207" s="32" t="inlineStr">
        <is>
          <t>Assets</t>
        </is>
      </c>
      <c r="E207" s="32" t="inlineStr">
        <is>
          <t>Real assets</t>
        </is>
      </c>
      <c r="F207" s="32" t="inlineStr">
        <is>
          <t>Home purchase price and date</t>
        </is>
      </c>
      <c r="G207" s="32" t="inlineStr">
        <is>
          <t>Secondary</t>
        </is>
      </c>
      <c r="H207" s="32" t="inlineStr">
        <is>
          <t>Amount plus month</t>
        </is>
      </c>
      <c r="I207" s="32" t="inlineStr">
        <is>
          <t>Equity growth</t>
        </is>
      </c>
      <c r="J207" s="32" t="inlineStr">
        <is>
          <t>Loan fields attach to the asset row</t>
        </is>
      </c>
      <c r="K207" s="32" t="inlineStr">
        <is>
          <t>Client</t>
        </is>
      </c>
      <c r="L207" s="32" t="n"/>
      <c r="M207" s="32" t="inlineStr">
        <is>
          <t>All</t>
        </is>
      </c>
      <c r="N207" s="32" t="inlineStr">
        <is>
          <t>Low</t>
        </is>
      </c>
      <c r="O207" s="32" t="n"/>
      <c r="P207" s="32" t="inlineStr">
        <is>
          <t>Now</t>
        </is>
      </c>
      <c r="Q207" s="32" t="inlineStr">
        <is>
          <t>ProjectionLab: assets carry their own loan</t>
        </is>
      </c>
      <c r="S207" s="10" t="inlineStr">
        <is>
          <t>My Money › Assets</t>
        </is>
      </c>
      <c r="T207" s="10" t="inlineStr">
        <is>
          <t>money</t>
        </is>
      </c>
      <c r="U207" s="10" t="inlineStr"/>
      <c r="V207" s="33" t="inlineStr">
        <is>
          <t>5</t>
        </is>
      </c>
    </row>
    <row r="208">
      <c r="A208" s="32" t="inlineStr">
        <is>
          <t>F206</t>
        </is>
      </c>
      <c r="B208" s="32" t="inlineStr">
        <is>
          <t>Not started</t>
        </is>
      </c>
      <c r="C208" s="32" t="inlineStr">
        <is>
          <t>Session 1</t>
        </is>
      </c>
      <c r="D208" s="32" t="inlineStr">
        <is>
          <t>Assets</t>
        </is>
      </c>
      <c r="E208" s="32" t="inlineStr">
        <is>
          <t>Real assets</t>
        </is>
      </c>
      <c r="F208" s="32" t="inlineStr">
        <is>
          <t>Property tax, insurance, HOA</t>
        </is>
      </c>
      <c r="G208" s="32" t="inlineStr">
        <is>
          <t>Secondary</t>
        </is>
      </c>
      <c r="H208" s="32" t="inlineStr">
        <is>
          <t>Three amounts</t>
        </is>
      </c>
      <c r="I208" s="32" t="inlineStr">
        <is>
          <t>True housing cost</t>
        </is>
      </c>
      <c r="J208" s="32" t="inlineStr">
        <is>
          <t>Loan fields attach to the asset row</t>
        </is>
      </c>
      <c r="K208" s="32" t="inlineStr">
        <is>
          <t>Client</t>
        </is>
      </c>
      <c r="L208" s="32" t="n"/>
      <c r="M208" s="32" t="inlineStr">
        <is>
          <t>All</t>
        </is>
      </c>
      <c r="N208" s="32" t="inlineStr">
        <is>
          <t>High</t>
        </is>
      </c>
      <c r="O208" s="32" t="n"/>
      <c r="P208" s="32" t="inlineStr">
        <is>
          <t>Now</t>
        </is>
      </c>
      <c r="Q208" s="32" t="inlineStr">
        <is>
          <t>ProjectionLab: assets carry their own loan</t>
        </is>
      </c>
      <c r="S208" s="10" t="inlineStr">
        <is>
          <t>My Money › Assets</t>
        </is>
      </c>
      <c r="T208" s="10" t="inlineStr">
        <is>
          <t>money</t>
        </is>
      </c>
      <c r="U208" s="10" t="inlineStr"/>
      <c r="V208" s="33" t="inlineStr">
        <is>
          <t>5</t>
        </is>
      </c>
    </row>
    <row r="209">
      <c r="A209" s="32" t="inlineStr">
        <is>
          <t>F207</t>
        </is>
      </c>
      <c r="B209" s="32" t="inlineStr">
        <is>
          <t>Not started</t>
        </is>
      </c>
      <c r="C209" s="32" t="inlineStr">
        <is>
          <t>Session 1</t>
        </is>
      </c>
      <c r="D209" s="32" t="inlineStr">
        <is>
          <t>Assets</t>
        </is>
      </c>
      <c r="E209" s="32" t="inlineStr">
        <is>
          <t>Real assets</t>
        </is>
      </c>
      <c r="F209" s="32" t="inlineStr">
        <is>
          <t>Other assets (boat, collectibles, business equity)</t>
        </is>
      </c>
      <c r="G209" s="32" t="inlineStr">
        <is>
          <t>Secondary</t>
        </is>
      </c>
      <c r="H209" s="32" t="inlineStr">
        <is>
          <t>Name plus value</t>
        </is>
      </c>
      <c r="I209" s="32" t="inlineStr">
        <is>
          <t>Total net worth</t>
        </is>
      </c>
      <c r="J209" s="32" t="inlineStr">
        <is>
          <t>Loan fields attach to the asset row</t>
        </is>
      </c>
      <c r="K209" s="32" t="inlineStr">
        <is>
          <t>Client</t>
        </is>
      </c>
      <c r="L209" s="32" t="n"/>
      <c r="M209" s="32" t="inlineStr">
        <is>
          <t>All</t>
        </is>
      </c>
      <c r="N209" s="32" t="inlineStr">
        <is>
          <t>Low</t>
        </is>
      </c>
      <c r="O209" s="32" t="n"/>
      <c r="P209" s="32" t="inlineStr">
        <is>
          <t>Now</t>
        </is>
      </c>
      <c r="Q209" s="32" t="inlineStr">
        <is>
          <t>ProjectionLab: assets carry their own loan</t>
        </is>
      </c>
      <c r="S209" s="10" t="inlineStr">
        <is>
          <t>My Money › Assets</t>
        </is>
      </c>
      <c r="T209" s="10" t="inlineStr">
        <is>
          <t>text</t>
        </is>
      </c>
      <c r="U209" s="10" t="inlineStr"/>
      <c r="V209" s="33" t="inlineStr">
        <is>
          <t>5</t>
        </is>
      </c>
    </row>
    <row r="210">
      <c r="A210" s="32" t="inlineStr">
        <is>
          <t>F208</t>
        </is>
      </c>
      <c r="B210" s="32" t="inlineStr">
        <is>
          <t>Not started</t>
        </is>
      </c>
      <c r="C210" s="32" t="inlineStr">
        <is>
          <t>Session 1</t>
        </is>
      </c>
      <c r="D210" s="32" t="inlineStr">
        <is>
          <t>Assets</t>
        </is>
      </c>
      <c r="E210" s="32" t="inlineStr">
        <is>
          <t>Real assets</t>
        </is>
      </c>
      <c r="F210" s="32" t="inlineStr">
        <is>
          <t>Money owed to you</t>
        </is>
      </c>
      <c r="G210" s="32" t="inlineStr">
        <is>
          <t>Tertiary</t>
        </is>
      </c>
      <c r="H210" s="32" t="inlineStr">
        <is>
          <t>Name plus amount</t>
        </is>
      </c>
      <c r="I210" s="32" t="inlineStr">
        <is>
          <t>Receivables</t>
        </is>
      </c>
      <c r="J210" s="32" t="inlineStr">
        <is>
          <t>Loan fields attach to the asset row</t>
        </is>
      </c>
      <c r="K210" s="32" t="inlineStr">
        <is>
          <t>Client</t>
        </is>
      </c>
      <c r="L210" s="32" t="n"/>
      <c r="M210" s="32" t="inlineStr">
        <is>
          <t>All</t>
        </is>
      </c>
      <c r="N210" s="32" t="inlineStr">
        <is>
          <t>Low</t>
        </is>
      </c>
      <c r="O210" s="32" t="n"/>
      <c r="P210" s="32" t="inlineStr">
        <is>
          <t>Now</t>
        </is>
      </c>
      <c r="Q210" s="32" t="inlineStr">
        <is>
          <t>ProjectionLab: assets carry their own loan</t>
        </is>
      </c>
      <c r="S210" s="10" t="inlineStr">
        <is>
          <t>My Money › Assets</t>
        </is>
      </c>
      <c r="T210" s="10" t="inlineStr">
        <is>
          <t>money</t>
        </is>
      </c>
      <c r="U210" s="10" t="inlineStr"/>
      <c r="V210" s="33" t="inlineStr">
        <is>
          <t>5</t>
        </is>
      </c>
    </row>
    <row r="211">
      <c r="A211" s="32" t="inlineStr">
        <is>
          <t>F209</t>
        </is>
      </c>
      <c r="B211" s="32" t="inlineStr">
        <is>
          <t>Not started</t>
        </is>
      </c>
      <c r="C211" s="32" t="inlineStr">
        <is>
          <t>Later</t>
        </is>
      </c>
      <c r="D211" s="32" t="inlineStr">
        <is>
          <t>Assets</t>
        </is>
      </c>
      <c r="E211" s="32" t="inlineStr">
        <is>
          <t>Future</t>
        </is>
      </c>
      <c r="F211" s="32" t="inlineStr">
        <is>
          <t>Pension</t>
        </is>
      </c>
      <c r="G211" s="32" t="inlineStr">
        <is>
          <t>Tertiary</t>
        </is>
      </c>
      <c r="H211" s="32" t="inlineStr">
        <is>
          <t>Monthly amount at start age</t>
        </is>
      </c>
      <c r="I211" s="32" t="inlineStr">
        <is>
          <t>Income floor</t>
        </is>
      </c>
      <c r="J211" s="32" t="n"/>
      <c r="K211" s="32" t="inlineStr">
        <is>
          <t>Client</t>
        </is>
      </c>
      <c r="L211" s="32" t="n"/>
      <c r="M211" s="32" t="inlineStr">
        <is>
          <t>All</t>
        </is>
      </c>
      <c r="N211" s="32" t="inlineStr">
        <is>
          <t>Medium</t>
        </is>
      </c>
      <c r="O211" s="32" t="n"/>
      <c r="P211" s="32" t="inlineStr">
        <is>
          <t>Later</t>
        </is>
      </c>
      <c r="Q211" s="32" t="n"/>
      <c r="S211" s="10" t="inlineStr">
        <is>
          <t>My Money › Assets</t>
        </is>
      </c>
      <c r="T211" s="10" t="inlineStr">
        <is>
          <t>money</t>
        </is>
      </c>
      <c r="U211" s="10" t="inlineStr"/>
      <c r="V211" s="33" t="inlineStr">
        <is>
          <t>5</t>
        </is>
      </c>
    </row>
    <row r="212">
      <c r="A212" s="32" t="inlineStr">
        <is>
          <t>F210</t>
        </is>
      </c>
      <c r="B212" s="32" t="inlineStr">
        <is>
          <t>Not started</t>
        </is>
      </c>
      <c r="C212" s="32" t="inlineStr">
        <is>
          <t>Later</t>
        </is>
      </c>
      <c r="D212" s="32" t="inlineStr">
        <is>
          <t>Assets</t>
        </is>
      </c>
      <c r="E212" s="32" t="inlineStr">
        <is>
          <t>Future</t>
        </is>
      </c>
      <c r="F212" s="32" t="inlineStr">
        <is>
          <t>Expected inheritance</t>
        </is>
      </c>
      <c r="G212" s="32" t="inlineStr">
        <is>
          <t>Tertiary</t>
        </is>
      </c>
      <c r="H212" s="32" t="inlineStr">
        <is>
          <t>Amount plus rough year</t>
        </is>
      </c>
      <c r="I212" s="32" t="inlineStr">
        <is>
          <t>Scenario block</t>
        </is>
      </c>
      <c r="J212" s="32" t="n"/>
      <c r="K212" s="32" t="inlineStr">
        <is>
          <t>Client</t>
        </is>
      </c>
      <c r="L212" s="32" t="n"/>
      <c r="M212" s="32" t="inlineStr">
        <is>
          <t>All</t>
        </is>
      </c>
      <c r="N212" s="32" t="inlineStr">
        <is>
          <t>Low</t>
        </is>
      </c>
      <c r="O212" s="32" t="n"/>
      <c r="P212" s="32" t="inlineStr">
        <is>
          <t>Later</t>
        </is>
      </c>
      <c r="Q212" s="32" t="n"/>
      <c r="S212" s="10" t="inlineStr">
        <is>
          <t>My Money › Assets</t>
        </is>
      </c>
      <c r="T212" s="10" t="inlineStr">
        <is>
          <t>money</t>
        </is>
      </c>
      <c r="U212" s="10" t="inlineStr"/>
      <c r="V212" s="33" t="inlineStr">
        <is>
          <t>5</t>
        </is>
      </c>
    </row>
    <row r="213">
      <c r="A213" s="32" t="inlineStr">
        <is>
          <t>F211</t>
        </is>
      </c>
      <c r="B213" s="32" t="inlineStr">
        <is>
          <t>Not started</t>
        </is>
      </c>
      <c r="C213" s="32" t="inlineStr">
        <is>
          <t>Computed</t>
        </is>
      </c>
      <c r="D213" s="32" t="inlineStr">
        <is>
          <t>Assets</t>
        </is>
      </c>
      <c r="E213" s="32" t="inlineStr">
        <is>
          <t>Computed results</t>
        </is>
      </c>
      <c r="F213" s="32" t="inlineStr">
        <is>
          <t>Liquid net worth</t>
        </is>
      </c>
      <c r="G213" s="32" t="inlineStr">
        <is>
          <t>Primary</t>
        </is>
      </c>
      <c r="H213" s="32" t="inlineStr">
        <is>
          <t>Computed tile</t>
        </is>
      </c>
      <c r="I213" s="32" t="inlineStr">
        <is>
          <t>One of the two net worths (Oct 24)</t>
        </is>
      </c>
      <c r="J213" s="32" t="n"/>
      <c r="K213" s="32" t="inlineStr">
        <is>
          <t>Computed</t>
        </is>
      </c>
      <c r="L213" s="32" t="n"/>
      <c r="M213" s="32" t="inlineStr">
        <is>
          <t>Computed</t>
        </is>
      </c>
      <c r="N213" s="32" t="inlineStr">
        <is>
          <t>High</t>
        </is>
      </c>
      <c r="O213" s="32" t="n"/>
      <c r="P213" s="32" t="inlineStr">
        <is>
          <t>Now</t>
        </is>
      </c>
      <c r="Q213" s="32" t="n"/>
      <c r="S213" s="10" t="inlineStr">
        <is>
          <t>My Money › Assets</t>
        </is>
      </c>
      <c r="T213" s="10" t="inlineStr">
        <is>
          <t>computed</t>
        </is>
      </c>
      <c r="U213" s="10" t="inlineStr"/>
      <c r="V213" s="33" t="inlineStr">
        <is>
          <t>5</t>
        </is>
      </c>
    </row>
    <row r="214">
      <c r="A214" s="32" t="inlineStr">
        <is>
          <t>F212</t>
        </is>
      </c>
      <c r="B214" s="32" t="inlineStr">
        <is>
          <t>Not started</t>
        </is>
      </c>
      <c r="C214" s="32" t="inlineStr">
        <is>
          <t>Computed</t>
        </is>
      </c>
      <c r="D214" s="32" t="inlineStr">
        <is>
          <t>Assets</t>
        </is>
      </c>
      <c r="E214" s="32" t="inlineStr">
        <is>
          <t>Computed results</t>
        </is>
      </c>
      <c r="F214" s="32" t="inlineStr">
        <is>
          <t>Total net worth</t>
        </is>
      </c>
      <c r="G214" s="32" t="inlineStr">
        <is>
          <t>Primary</t>
        </is>
      </c>
      <c r="H214" s="32" t="inlineStr">
        <is>
          <t>Computed tile</t>
        </is>
      </c>
      <c r="I214" s="32" t="inlineStr">
        <is>
          <t>Includes car, home, illiquid accounts</t>
        </is>
      </c>
      <c r="J214" s="32" t="n"/>
      <c r="K214" s="32" t="inlineStr">
        <is>
          <t>Computed</t>
        </is>
      </c>
      <c r="L214" s="32" t="n"/>
      <c r="M214" s="32" t="inlineStr">
        <is>
          <t>Computed</t>
        </is>
      </c>
      <c r="N214" s="32" t="inlineStr">
        <is>
          <t>High</t>
        </is>
      </c>
      <c r="O214" s="32" t="n"/>
      <c r="P214" s="32" t="inlineStr">
        <is>
          <t>Now</t>
        </is>
      </c>
      <c r="Q214" s="32" t="n"/>
      <c r="S214" s="10" t="inlineStr">
        <is>
          <t>My Money › Assets</t>
        </is>
      </c>
      <c r="T214" s="10" t="inlineStr">
        <is>
          <t>computed</t>
        </is>
      </c>
      <c r="U214" s="10" t="inlineStr"/>
      <c r="V214" s="33" t="inlineStr">
        <is>
          <t>5</t>
        </is>
      </c>
    </row>
    <row r="215">
      <c r="A215" s="32" t="inlineStr">
        <is>
          <t>F213</t>
        </is>
      </c>
      <c r="B215" s="32" t="inlineStr">
        <is>
          <t>Not started</t>
        </is>
      </c>
      <c r="C215" s="32" t="inlineStr">
        <is>
          <t>Computed</t>
        </is>
      </c>
      <c r="D215" s="32" t="inlineStr">
        <is>
          <t>Assets</t>
        </is>
      </c>
      <c r="E215" s="32" t="inlineStr">
        <is>
          <t>Computed results</t>
        </is>
      </c>
      <c r="F215" s="32" t="inlineStr">
        <is>
          <t>Liquidity tier per account</t>
        </is>
      </c>
      <c r="G215" s="32" t="inlineStr">
        <is>
          <t>Primary</t>
        </is>
      </c>
      <c r="H215" s="32" t="inlineStr">
        <is>
          <t>Computed tile</t>
        </is>
      </c>
      <c r="I215" s="32" t="inlineStr">
        <is>
          <t>Cash, penalty-free, penalty, illiquid</t>
        </is>
      </c>
      <c r="J215" s="32" t="n"/>
      <c r="K215" s="32" t="inlineStr">
        <is>
          <t>Computed</t>
        </is>
      </c>
      <c r="L215" s="32" t="n"/>
      <c r="M215" s="32" t="inlineStr">
        <is>
          <t>Computed</t>
        </is>
      </c>
      <c r="N215" s="32" t="inlineStr">
        <is>
          <t>High</t>
        </is>
      </c>
      <c r="O215" s="32" t="n"/>
      <c r="P215" s="32" t="inlineStr">
        <is>
          <t>Now</t>
        </is>
      </c>
      <c r="Q215" s="32" t="n"/>
      <c r="S215" s="10" t="inlineStr">
        <is>
          <t>My Money › Assets</t>
        </is>
      </c>
      <c r="T215" s="10" t="inlineStr">
        <is>
          <t>computed</t>
        </is>
      </c>
      <c r="U215" s="10" t="inlineStr"/>
      <c r="V215" s="33" t="inlineStr">
        <is>
          <t>5</t>
        </is>
      </c>
    </row>
    <row r="216">
      <c r="A216" s="32" t="inlineStr">
        <is>
          <t>F214</t>
        </is>
      </c>
      <c r="B216" s="32" t="inlineStr">
        <is>
          <t>Not started</t>
        </is>
      </c>
      <c r="C216" s="32" t="inlineStr">
        <is>
          <t>Fast Track</t>
        </is>
      </c>
      <c r="D216" s="32" t="inlineStr">
        <is>
          <t>Goals</t>
        </is>
      </c>
      <c r="E216" s="32" t="inlineStr">
        <is>
          <t>FI target</t>
        </is>
      </c>
      <c r="F216" s="32" t="inlineStr">
        <is>
          <t>FI age or 'just show me'</t>
        </is>
      </c>
      <c r="G216" s="32" t="inlineStr">
        <is>
          <t>Primary</t>
        </is>
      </c>
      <c r="H216" s="32" t="inlineStr">
        <is>
          <t>Age box or button</t>
        </is>
      </c>
      <c r="I216" s="32" t="inlineStr">
        <is>
          <t>The big reveal at end of call</t>
        </is>
      </c>
      <c r="J216" s="32" t="n"/>
      <c r="K216" s="32" t="inlineStr">
        <is>
          <t>Client</t>
        </is>
      </c>
      <c r="L216" s="32" t="n"/>
      <c r="M216" s="32" t="inlineStr">
        <is>
          <t>All</t>
        </is>
      </c>
      <c r="N216" s="32" t="inlineStr">
        <is>
          <t>High</t>
        </is>
      </c>
      <c r="O216" s="32" t="n"/>
      <c r="P216" s="32" t="inlineStr">
        <is>
          <t>Now</t>
        </is>
      </c>
      <c r="Q216" s="32" t="n"/>
      <c r="S216" s="10" t="inlineStr">
        <is>
          <t>Plan › Goals</t>
        </is>
      </c>
      <c r="T216" s="10" t="inlineStr">
        <is>
          <t>text</t>
        </is>
      </c>
      <c r="U216" s="10" t="inlineStr"/>
      <c r="V216" s="33" t="inlineStr">
        <is>
          <t>7</t>
        </is>
      </c>
    </row>
    <row r="217">
      <c r="A217" s="32" t="inlineStr">
        <is>
          <t>F215</t>
        </is>
      </c>
      <c r="B217" s="32" t="inlineStr">
        <is>
          <t>Not started</t>
        </is>
      </c>
      <c r="C217" s="32" t="inlineStr">
        <is>
          <t>Session 1</t>
        </is>
      </c>
      <c r="D217" s="32" t="inlineStr">
        <is>
          <t>Goals</t>
        </is>
      </c>
      <c r="E217" s="32" t="inlineStr">
        <is>
          <t>FI target</t>
        </is>
      </c>
      <c r="F217" s="32" t="inlineStr">
        <is>
          <t>Retire by (age)</t>
        </is>
      </c>
      <c r="G217" s="32" t="inlineStr">
        <is>
          <t>Secondary</t>
        </is>
      </c>
      <c r="H217" s="32" t="inlineStr">
        <is>
          <t>Age box, default 60</t>
        </is>
      </c>
      <c r="I217" s="32" t="inlineStr">
        <is>
          <t>Coast FI and the timeline when no FI age is set</t>
        </is>
      </c>
      <c r="J217" s="32" t="n"/>
      <c r="K217" s="32" t="inlineStr">
        <is>
          <t>Client</t>
        </is>
      </c>
      <c r="L217" s="32" t="n"/>
      <c r="M217" s="32" t="inlineStr">
        <is>
          <t>All</t>
        </is>
      </c>
      <c r="N217" s="32" t="inlineStr">
        <is>
          <t>Medium</t>
        </is>
      </c>
      <c r="O217" s="32" t="n"/>
      <c r="P217" s="32" t="inlineStr">
        <is>
          <t>Now</t>
        </is>
      </c>
      <c r="Q217" s="32" t="inlineStr">
        <is>
          <t>Added from Claude Code's question</t>
        </is>
      </c>
      <c r="S217" s="10" t="inlineStr">
        <is>
          <t>Plan › Goals</t>
        </is>
      </c>
      <c r="T217" s="10" t="inlineStr">
        <is>
          <t>text</t>
        </is>
      </c>
      <c r="U217" s="10" t="inlineStr"/>
      <c r="V217" s="33" t="inlineStr">
        <is>
          <t>7</t>
        </is>
      </c>
    </row>
    <row r="218">
      <c r="A218" s="32" t="inlineStr">
        <is>
          <t>F216</t>
        </is>
      </c>
      <c r="B218" s="32" t="inlineStr">
        <is>
          <t>Not started</t>
        </is>
      </c>
      <c r="C218" s="32" t="inlineStr">
        <is>
          <t>Session 1</t>
        </is>
      </c>
      <c r="D218" s="32" t="inlineStr">
        <is>
          <t>Goals</t>
        </is>
      </c>
      <c r="E218" s="32" t="inlineStr">
        <is>
          <t>Assumptions</t>
        </is>
      </c>
      <c r="F218" s="32" t="inlineStr">
        <is>
          <t>Return (after inflation)</t>
        </is>
      </c>
      <c r="G218" s="32" t="inlineStr">
        <is>
          <t>Secondary</t>
        </is>
      </c>
      <c r="H218" s="32" t="inlineStr">
        <is>
          <t>Pick: 6%, 7% (default), 8%, 12% hopeful</t>
        </is>
      </c>
      <c r="I218" s="32" t="inlineStr">
        <is>
          <t>Projection engine</t>
        </is>
      </c>
      <c r="J218" s="32" t="n"/>
      <c r="K218" s="32" t="inlineStr">
        <is>
          <t>Coach guesstimate</t>
        </is>
      </c>
      <c r="L218" s="32" t="n"/>
      <c r="M218" s="32" t="inlineStr">
        <is>
          <t>All</t>
        </is>
      </c>
      <c r="N218" s="32" t="inlineStr">
        <is>
          <t>High</t>
        </is>
      </c>
      <c r="O218" s="32" t="n"/>
      <c r="P218" s="32" t="inlineStr">
        <is>
          <t>Now</t>
        </is>
      </c>
      <c r="Q218" s="32" t="inlineStr">
        <is>
          <t>Oct 28 answers</t>
        </is>
      </c>
      <c r="S218" s="10" t="inlineStr">
        <is>
          <t>Plan › Goals</t>
        </is>
      </c>
      <c r="T218" s="10" t="inlineStr">
        <is>
          <t>choice</t>
        </is>
      </c>
      <c r="U218" s="10" t="inlineStr">
        <is>
          <t>6%, 7% (default), 8%, 12% hopeful</t>
        </is>
      </c>
      <c r="V218" s="33" t="inlineStr">
        <is>
          <t>7</t>
        </is>
      </c>
    </row>
    <row r="219">
      <c r="A219" s="32" t="inlineStr">
        <is>
          <t>F217</t>
        </is>
      </c>
      <c r="B219" s="32" t="inlineStr">
        <is>
          <t>Not started</t>
        </is>
      </c>
      <c r="C219" s="32" t="inlineStr">
        <is>
          <t>Session 1</t>
        </is>
      </c>
      <c r="D219" s="32" t="inlineStr">
        <is>
          <t>Goals</t>
        </is>
      </c>
      <c r="E219" s="32" t="inlineStr">
        <is>
          <t>Assumptions</t>
        </is>
      </c>
      <c r="F219" s="32" t="inlineStr">
        <is>
          <t>Inflation</t>
        </is>
      </c>
      <c r="G219" s="32" t="inlineStr">
        <is>
          <t>Secondary</t>
        </is>
      </c>
      <c r="H219" s="32" t="inlineStr">
        <is>
          <t>Pick: 2% (default), 3%</t>
        </is>
      </c>
      <c r="I219" s="32" t="inlineStr">
        <is>
          <t>Nominal display, Social Security, debt in today's dollars</t>
        </is>
      </c>
      <c r="J219" s="32" t="n"/>
      <c r="K219" s="32" t="inlineStr">
        <is>
          <t>Coach guesstimate</t>
        </is>
      </c>
      <c r="L219" s="32" t="n"/>
      <c r="M219" s="32" t="inlineStr">
        <is>
          <t>All</t>
        </is>
      </c>
      <c r="N219" s="32" t="inlineStr">
        <is>
          <t>Low</t>
        </is>
      </c>
      <c r="O219" s="32" t="n"/>
      <c r="P219" s="32" t="inlineStr">
        <is>
          <t>Now</t>
        </is>
      </c>
      <c r="Q219" s="32" t="inlineStr">
        <is>
          <t>Returns are already after inflation</t>
        </is>
      </c>
      <c r="S219" s="10" t="inlineStr">
        <is>
          <t>Plan › Goals</t>
        </is>
      </c>
      <c r="T219" s="10" t="inlineStr">
        <is>
          <t>choice</t>
        </is>
      </c>
      <c r="U219" s="10" t="inlineStr">
        <is>
          <t>2% (default), 3%</t>
        </is>
      </c>
      <c r="V219" s="33" t="inlineStr">
        <is>
          <t>7</t>
        </is>
      </c>
    </row>
    <row r="220">
      <c r="A220" s="32" t="inlineStr">
        <is>
          <t>F218</t>
        </is>
      </c>
      <c r="B220" s="32" t="inlineStr">
        <is>
          <t>Not started</t>
        </is>
      </c>
      <c r="C220" s="32" t="inlineStr">
        <is>
          <t>Session 1</t>
        </is>
      </c>
      <c r="D220" s="32" t="inlineStr">
        <is>
          <t>Goals</t>
        </is>
      </c>
      <c r="E220" s="32" t="inlineStr">
        <is>
          <t>Assumptions</t>
        </is>
      </c>
      <c r="F220" s="32" t="inlineStr">
        <is>
          <t>Withdrawal rate</t>
        </is>
      </c>
      <c r="G220" s="32" t="inlineStr">
        <is>
          <t>Secondary</t>
        </is>
      </c>
      <c r="H220" s="32" t="inlineStr">
        <is>
          <t>Pick: 3%, 4% (default), 4.7%, 5.2%</t>
        </is>
      </c>
      <c r="I220" s="32" t="inlineStr">
        <is>
          <t>FI number</t>
        </is>
      </c>
      <c r="J220" s="32" t="n"/>
      <c r="K220" s="32" t="inlineStr">
        <is>
          <t>Coach guesstimate</t>
        </is>
      </c>
      <c r="L220" s="32" t="n"/>
      <c r="M220" s="32" t="inlineStr">
        <is>
          <t>All</t>
        </is>
      </c>
      <c r="N220" s="32" t="inlineStr">
        <is>
          <t>High</t>
        </is>
      </c>
      <c r="O220" s="32" t="n"/>
      <c r="P220" s="32" t="inlineStr">
        <is>
          <t>Now</t>
        </is>
      </c>
      <c r="Q220" s="32" t="n"/>
      <c r="S220" s="10" t="inlineStr">
        <is>
          <t>Plan › Goals</t>
        </is>
      </c>
      <c r="T220" s="10" t="inlineStr">
        <is>
          <t>choice</t>
        </is>
      </c>
      <c r="U220" s="10" t="inlineStr">
        <is>
          <t>3%, 4% (default), 4.7%, 5.2%</t>
        </is>
      </c>
      <c r="V220" s="33" t="inlineStr">
        <is>
          <t>7</t>
        </is>
      </c>
    </row>
    <row r="221">
      <c r="A221" s="32" t="inlineStr">
        <is>
          <t>F219</t>
        </is>
      </c>
      <c r="B221" s="32" t="inlineStr">
        <is>
          <t>Not started</t>
        </is>
      </c>
      <c r="C221" s="32" t="inlineStr">
        <is>
          <t>Session 1</t>
        </is>
      </c>
      <c r="D221" s="32" t="inlineStr">
        <is>
          <t>Goals</t>
        </is>
      </c>
      <c r="E221" s="32" t="inlineStr">
        <is>
          <t>Assumptions</t>
        </is>
      </c>
      <c r="F221" s="32" t="inlineStr">
        <is>
          <t>Pace (optimistic, likely, pessimistic)</t>
        </is>
      </c>
      <c r="G221" s="32" t="inlineStr">
        <is>
          <t>Secondary</t>
        </is>
      </c>
      <c r="H221" s="32" t="inlineStr">
        <is>
          <t>Three-way toggle</t>
        </is>
      </c>
      <c r="I221" s="32" t="inlineStr">
        <is>
          <t>Triple D plan: 8%, 7%, 6%</t>
        </is>
      </c>
      <c r="J221" s="32" t="n"/>
      <c r="K221" s="32" t="inlineStr">
        <is>
          <t>Coach guesstimate</t>
        </is>
      </c>
      <c r="L221" s="32" t="n"/>
      <c r="M221" s="32" t="inlineStr">
        <is>
          <t>All</t>
        </is>
      </c>
      <c r="N221" s="32" t="inlineStr">
        <is>
          <t>Medium</t>
        </is>
      </c>
      <c r="O221" s="32" t="n"/>
      <c r="P221" s="32" t="inlineStr">
        <is>
          <t>Now</t>
        </is>
      </c>
      <c r="Q221" s="32" t="inlineStr">
        <is>
          <t>Default Likely</t>
        </is>
      </c>
      <c r="S221" s="10" t="inlineStr">
        <is>
          <t>Plan › Goals</t>
        </is>
      </c>
      <c r="T221" s="10" t="inlineStr">
        <is>
          <t>choice</t>
        </is>
      </c>
      <c r="U221" s="10" t="inlineStr"/>
      <c r="V221" s="33" t="inlineStr">
        <is>
          <t>7</t>
        </is>
      </c>
    </row>
    <row r="222">
      <c r="A222" s="32" t="inlineStr">
        <is>
          <t>F220</t>
        </is>
      </c>
      <c r="B222" s="32" t="inlineStr">
        <is>
          <t>Not started</t>
        </is>
      </c>
      <c r="C222" s="32" t="inlineStr">
        <is>
          <t>Session 2+</t>
        </is>
      </c>
      <c r="D222" s="32" t="inlineStr">
        <is>
          <t>Goals</t>
        </is>
      </c>
      <c r="E222" s="32" t="inlineStr">
        <is>
          <t>Assumptions</t>
        </is>
      </c>
      <c r="F222" s="32" t="inlineStr">
        <is>
          <t>Real or nominal dollars</t>
        </is>
      </c>
      <c r="G222" s="32" t="inlineStr">
        <is>
          <t>Tertiary</t>
        </is>
      </c>
      <c r="H222" s="32" t="inlineStr">
        <is>
          <t>Toggle with plain definition</t>
        </is>
      </c>
      <c r="I222" s="32" t="inlineStr">
        <is>
          <t>Engine default real</t>
        </is>
      </c>
      <c r="J222" s="32" t="n"/>
      <c r="K222" s="32" t="inlineStr">
        <is>
          <t>Coach guesstimate</t>
        </is>
      </c>
      <c r="L222" s="32" t="n"/>
      <c r="M222" s="32" t="inlineStr">
        <is>
          <t>All</t>
        </is>
      </c>
      <c r="N222" s="32" t="inlineStr">
        <is>
          <t>Low</t>
        </is>
      </c>
      <c r="O222" s="32" t="n"/>
      <c r="P222" s="32" t="inlineStr">
        <is>
          <t>Now</t>
        </is>
      </c>
      <c r="Q222" s="32" t="n"/>
      <c r="S222" s="10" t="inlineStr">
        <is>
          <t>Plan › Goals</t>
        </is>
      </c>
      <c r="T222" s="10" t="inlineStr">
        <is>
          <t>choice</t>
        </is>
      </c>
      <c r="U222" s="10" t="inlineStr"/>
      <c r="V222" s="33" t="inlineStr">
        <is>
          <t>7</t>
        </is>
      </c>
    </row>
    <row r="223">
      <c r="A223" s="32" t="inlineStr">
        <is>
          <t>F221</t>
        </is>
      </c>
      <c r="B223" s="32" t="inlineStr">
        <is>
          <t>Not started</t>
        </is>
      </c>
      <c r="C223" s="32" t="inlineStr">
        <is>
          <t>Session 2+</t>
        </is>
      </c>
      <c r="D223" s="32" t="inlineStr">
        <is>
          <t>Goals</t>
        </is>
      </c>
      <c r="E223" s="32" t="inlineStr">
        <is>
          <t>Assumptions</t>
        </is>
      </c>
      <c r="F223" s="32" t="inlineStr">
        <is>
          <t>Life expectancy</t>
        </is>
      </c>
      <c r="G223" s="32" t="inlineStr">
        <is>
          <t>Tertiary</t>
        </is>
      </c>
      <c r="H223" s="32" t="inlineStr">
        <is>
          <t>Age, default 90</t>
        </is>
      </c>
      <c r="I223" s="32" t="inlineStr">
        <is>
          <t>Decumulation length</t>
        </is>
      </c>
      <c r="J223" s="32" t="n"/>
      <c r="K223" s="32" t="inlineStr">
        <is>
          <t>Coach guesstimate</t>
        </is>
      </c>
      <c r="L223" s="32" t="n"/>
      <c r="M223" s="32" t="inlineStr">
        <is>
          <t>All</t>
        </is>
      </c>
      <c r="N223" s="32" t="inlineStr">
        <is>
          <t>Medium</t>
        </is>
      </c>
      <c r="O223" s="32" t="n"/>
      <c r="P223" s="32" t="inlineStr">
        <is>
          <t>Now</t>
        </is>
      </c>
      <c r="Q223" s="32" t="inlineStr">
        <is>
          <t>ProjectionLab default 85</t>
        </is>
      </c>
      <c r="S223" s="10" t="inlineStr">
        <is>
          <t>Plan › Goals</t>
        </is>
      </c>
      <c r="T223" s="10" t="inlineStr">
        <is>
          <t>text</t>
        </is>
      </c>
      <c r="U223" s="10" t="inlineStr"/>
      <c r="V223" s="33" t="inlineStr">
        <is>
          <t>7</t>
        </is>
      </c>
    </row>
    <row r="224">
      <c r="A224" s="32" t="inlineStr">
        <is>
          <t>F222</t>
        </is>
      </c>
      <c r="B224" s="32" t="inlineStr">
        <is>
          <t>Not started</t>
        </is>
      </c>
      <c r="C224" s="32" t="inlineStr">
        <is>
          <t>Session 2+</t>
        </is>
      </c>
      <c r="D224" s="32" t="inlineStr">
        <is>
          <t>Goals</t>
        </is>
      </c>
      <c r="E224" s="32" t="inlineStr">
        <is>
          <t>Assumptions</t>
        </is>
      </c>
      <c r="F224" s="32" t="inlineStr">
        <is>
          <t>Social Security</t>
        </is>
      </c>
      <c r="G224" s="32" t="inlineStr">
        <is>
          <t>Tertiary</t>
        </is>
      </c>
      <c r="H224" s="32" t="inlineStr">
        <is>
          <t>Pick: full scheduled (likely), reduced %, none</t>
        </is>
      </c>
      <c r="I224" s="32" t="inlineStr">
        <is>
          <t>Income floor. Never dismissed by default</t>
        </is>
      </c>
      <c r="J224" s="32" t="n"/>
      <c r="K224" s="32" t="inlineStr">
        <is>
          <t>Coach guesstimate</t>
        </is>
      </c>
      <c r="L224" s="32" t="n"/>
      <c r="M224" s="32" t="inlineStr">
        <is>
          <t>All</t>
        </is>
      </c>
      <c r="N224" s="32" t="inlineStr">
        <is>
          <t>Medium</t>
        </is>
      </c>
      <c r="O224" s="32" t="n"/>
      <c r="P224" s="32" t="inlineStr">
        <is>
          <t>Now</t>
        </is>
      </c>
      <c r="Q224" s="32" t="n"/>
      <c r="S224" s="10" t="inlineStr">
        <is>
          <t>Plan › Goals</t>
        </is>
      </c>
      <c r="T224" s="10" t="inlineStr">
        <is>
          <t>choice</t>
        </is>
      </c>
      <c r="U224" s="10" t="inlineStr">
        <is>
          <t>full scheduled (likely), reduced %, none</t>
        </is>
      </c>
      <c r="V224" s="33" t="inlineStr">
        <is>
          <t>7</t>
        </is>
      </c>
    </row>
    <row r="225">
      <c r="A225" s="32" t="inlineStr">
        <is>
          <t>F223</t>
        </is>
      </c>
      <c r="B225" s="32" t="inlineStr">
        <is>
          <t>Not started</t>
        </is>
      </c>
      <c r="C225" s="32" t="inlineStr">
        <is>
          <t>Session 2+</t>
        </is>
      </c>
      <c r="D225" s="32" t="inlineStr">
        <is>
          <t>Goals</t>
        </is>
      </c>
      <c r="E225" s="32" t="inlineStr">
        <is>
          <t>Retirement spending</t>
        </is>
      </c>
      <c r="F225" s="32" t="inlineStr">
        <is>
          <t>Spending in retirement</t>
        </is>
      </c>
      <c r="G225" s="32" t="inlineStr">
        <is>
          <t>Secondary</t>
        </is>
      </c>
      <c r="H225" s="32" t="inlineStr">
        <is>
          <t>Amount, defaults to current spending</t>
        </is>
      </c>
      <c r="I225" s="32" t="inlineStr">
        <is>
          <t>FI number</t>
        </is>
      </c>
      <c r="J225" s="32" t="n"/>
      <c r="K225" s="32" t="inlineStr">
        <is>
          <t>Client</t>
        </is>
      </c>
      <c r="L225" s="32" t="n"/>
      <c r="M225" s="32" t="inlineStr">
        <is>
          <t>All</t>
        </is>
      </c>
      <c r="N225" s="32" t="inlineStr">
        <is>
          <t>High</t>
        </is>
      </c>
      <c r="O225" s="32" t="n"/>
      <c r="P225" s="32" t="inlineStr">
        <is>
          <t>Now</t>
        </is>
      </c>
      <c r="Q225" s="32" t="n"/>
      <c r="S225" s="10" t="inlineStr">
        <is>
          <t>Plan › Goals</t>
        </is>
      </c>
      <c r="T225" s="10" t="inlineStr">
        <is>
          <t>money</t>
        </is>
      </c>
      <c r="U225" s="10" t="inlineStr"/>
      <c r="V225" s="33" t="inlineStr">
        <is>
          <t>7</t>
        </is>
      </c>
    </row>
    <row r="226">
      <c r="A226" s="32" t="inlineStr">
        <is>
          <t>F224</t>
        </is>
      </c>
      <c r="B226" s="32" t="inlineStr">
        <is>
          <t>Not started</t>
        </is>
      </c>
      <c r="C226" s="32" t="inlineStr">
        <is>
          <t>Later</t>
        </is>
      </c>
      <c r="D226" s="32" t="inlineStr">
        <is>
          <t>Goals</t>
        </is>
      </c>
      <c r="E226" s="32" t="inlineStr">
        <is>
          <t>Retirement spending</t>
        </is>
      </c>
      <c r="F226" s="32" t="inlineStr">
        <is>
          <t>Go-go, slow-go, no-go phases</t>
        </is>
      </c>
      <c r="G226" s="32" t="inlineStr">
        <is>
          <t>Tertiary</t>
        </is>
      </c>
      <c r="H226" s="32" t="inlineStr">
        <is>
          <t>Three amounts with ages</t>
        </is>
      </c>
      <c r="I226" s="32" t="inlineStr">
        <is>
          <t>Realistic drawdown</t>
        </is>
      </c>
      <c r="J226" s="32" t="n"/>
      <c r="K226" s="32" t="inlineStr">
        <is>
          <t>Client</t>
        </is>
      </c>
      <c r="L226" s="32" t="n"/>
      <c r="M226" s="32" t="inlineStr">
        <is>
          <t>All</t>
        </is>
      </c>
      <c r="N226" s="32" t="inlineStr">
        <is>
          <t>Medium</t>
        </is>
      </c>
      <c r="O226" s="32" t="n"/>
      <c r="P226" s="32" t="inlineStr">
        <is>
          <t>Later</t>
        </is>
      </c>
      <c r="Q226" s="32" t="n"/>
      <c r="S226" s="10" t="inlineStr">
        <is>
          <t>Plan › Goals</t>
        </is>
      </c>
      <c r="T226" s="10" t="inlineStr">
        <is>
          <t>money</t>
        </is>
      </c>
      <c r="U226" s="10" t="inlineStr"/>
      <c r="V226" s="33" t="inlineStr">
        <is>
          <t>7</t>
        </is>
      </c>
    </row>
    <row r="227">
      <c r="A227" s="32" t="inlineStr">
        <is>
          <t>F225</t>
        </is>
      </c>
      <c r="B227" s="32" t="inlineStr">
        <is>
          <t>Not started</t>
        </is>
      </c>
      <c r="C227" s="32" t="inlineStr">
        <is>
          <t>Session 1</t>
        </is>
      </c>
      <c r="D227" s="32" t="inlineStr">
        <is>
          <t>Goals</t>
        </is>
      </c>
      <c r="E227" s="32" t="inlineStr">
        <is>
          <t>Milestones</t>
        </is>
      </c>
      <c r="F227" s="32" t="inlineStr">
        <is>
          <t>Lean FI (FAT costs only)</t>
        </is>
      </c>
      <c r="G227" s="32" t="inlineStr">
        <is>
          <t>Secondary</t>
        </is>
      </c>
      <c r="H227" s="32" t="inlineStr">
        <is>
          <t>Computed with date</t>
        </is>
      </c>
      <c r="I227" s="32" t="inlineStr">
        <is>
          <t>Milestone ladder</t>
        </is>
      </c>
      <c r="J227" s="32" t="n"/>
      <c r="K227" s="32" t="inlineStr">
        <is>
          <t>Computed</t>
        </is>
      </c>
      <c r="L227" s="32" t="n"/>
      <c r="M227" s="32" t="inlineStr">
        <is>
          <t>Computed</t>
        </is>
      </c>
      <c r="N227" s="32" t="inlineStr">
        <is>
          <t>High</t>
        </is>
      </c>
      <c r="O227" s="32" t="n"/>
      <c r="P227" s="32" t="inlineStr">
        <is>
          <t>Now</t>
        </is>
      </c>
      <c r="Q227" s="32" t="inlineStr">
        <is>
          <t>Your definition</t>
        </is>
      </c>
      <c r="S227" s="10" t="inlineStr">
        <is>
          <t>Plan › Goals</t>
        </is>
      </c>
      <c r="T227" s="10" t="inlineStr">
        <is>
          <t>computed</t>
        </is>
      </c>
      <c r="U227" s="10" t="inlineStr"/>
      <c r="V227" s="33" t="inlineStr">
        <is>
          <t>7</t>
        </is>
      </c>
    </row>
    <row r="228">
      <c r="A228" s="32" t="inlineStr">
        <is>
          <t>F226</t>
        </is>
      </c>
      <c r="B228" s="32" t="inlineStr">
        <is>
          <t>Not started</t>
        </is>
      </c>
      <c r="C228" s="32" t="inlineStr">
        <is>
          <t>Session 1</t>
        </is>
      </c>
      <c r="D228" s="32" t="inlineStr">
        <is>
          <t>Goals</t>
        </is>
      </c>
      <c r="E228" s="32" t="inlineStr">
        <is>
          <t>Milestones</t>
        </is>
      </c>
      <c r="F228" s="32" t="inlineStr">
        <is>
          <t>Coast FI</t>
        </is>
      </c>
      <c r="G228" s="32" t="inlineStr">
        <is>
          <t>Secondary</t>
        </is>
      </c>
      <c r="H228" s="32" t="inlineStr">
        <is>
          <t>Computed from age, retirement age, return</t>
        </is>
      </c>
      <c r="I228" s="32" t="inlineStr">
        <is>
          <t>Computed properly, not a fixed multiple</t>
        </is>
      </c>
      <c r="J228" s="32" t="n"/>
      <c r="K228" s="32" t="inlineStr">
        <is>
          <t>Computed</t>
        </is>
      </c>
      <c r="L228" s="32" t="n"/>
      <c r="M228" s="32" t="inlineStr">
        <is>
          <t>Computed</t>
        </is>
      </c>
      <c r="N228" s="32" t="inlineStr">
        <is>
          <t>High</t>
        </is>
      </c>
      <c r="O228" s="32" t="n"/>
      <c r="P228" s="32" t="inlineStr">
        <is>
          <t>Now</t>
        </is>
      </c>
      <c r="Q228" s="32" t="inlineStr">
        <is>
          <t>ProjectionLab uses 15x spending</t>
        </is>
      </c>
      <c r="S228" s="10" t="inlineStr">
        <is>
          <t>Plan › Goals</t>
        </is>
      </c>
      <c r="T228" s="10" t="inlineStr">
        <is>
          <t>computed</t>
        </is>
      </c>
      <c r="U228" s="10" t="inlineStr"/>
      <c r="V228" s="33" t="inlineStr">
        <is>
          <t>7</t>
        </is>
      </c>
    </row>
    <row r="229">
      <c r="A229" s="32" t="inlineStr">
        <is>
          <t>F227</t>
        </is>
      </c>
      <c r="B229" s="32" t="inlineStr">
        <is>
          <t>Not started</t>
        </is>
      </c>
      <c r="C229" s="32" t="inlineStr">
        <is>
          <t>Session 1</t>
        </is>
      </c>
      <c r="D229" s="32" t="inlineStr">
        <is>
          <t>Goals</t>
        </is>
      </c>
      <c r="E229" s="32" t="inlineStr">
        <is>
          <t>Milestones</t>
        </is>
      </c>
      <c r="F229" s="32" t="inlineStr">
        <is>
          <t>Barista FI</t>
        </is>
      </c>
      <c r="G229" s="32" t="inlineStr">
        <is>
          <t>Secondary</t>
        </is>
      </c>
      <c r="H229" s="32" t="inlineStr">
        <is>
          <t>Part-time income field plus computed date</t>
        </is>
      </c>
      <c r="I229" s="32" t="inlineStr">
        <is>
          <t>$100/mo = $30k rule</t>
        </is>
      </c>
      <c r="J229" s="32" t="n"/>
      <c r="K229" s="32" t="inlineStr">
        <is>
          <t>Client</t>
        </is>
      </c>
      <c r="L229" s="32" t="n"/>
      <c r="M229" s="32" t="inlineStr">
        <is>
          <t>All</t>
        </is>
      </c>
      <c r="N229" s="32" t="inlineStr">
        <is>
          <t>Medium</t>
        </is>
      </c>
      <c r="O229" s="32" t="n"/>
      <c r="P229" s="32" t="inlineStr">
        <is>
          <t>Now</t>
        </is>
      </c>
      <c r="Q229" s="32" t="n"/>
      <c r="S229" s="10" t="inlineStr">
        <is>
          <t>Plan › Goals</t>
        </is>
      </c>
      <c r="T229" s="10" t="inlineStr">
        <is>
          <t>date</t>
        </is>
      </c>
      <c r="U229" s="10" t="inlineStr"/>
      <c r="V229" s="33" t="inlineStr">
        <is>
          <t>7</t>
        </is>
      </c>
    </row>
    <row r="230">
      <c r="A230" s="32" t="inlineStr">
        <is>
          <t>F228</t>
        </is>
      </c>
      <c r="B230" s="32" t="inlineStr">
        <is>
          <t>Not started</t>
        </is>
      </c>
      <c r="C230" s="32" t="inlineStr">
        <is>
          <t>Session 1</t>
        </is>
      </c>
      <c r="D230" s="32" t="inlineStr">
        <is>
          <t>Goals</t>
        </is>
      </c>
      <c r="E230" s="32" t="inlineStr">
        <is>
          <t>Milestones</t>
        </is>
      </c>
      <c r="F230" s="32" t="inlineStr">
        <is>
          <t>Regular FI</t>
        </is>
      </c>
      <c r="G230" s="32" t="inlineStr">
        <is>
          <t>Primary</t>
        </is>
      </c>
      <c r="H230" s="32" t="inlineStr">
        <is>
          <t>Computed date</t>
        </is>
      </c>
      <c r="I230" s="32" t="inlineStr">
        <is>
          <t>Headline result</t>
        </is>
      </c>
      <c r="J230" s="32" t="n"/>
      <c r="K230" s="32" t="inlineStr">
        <is>
          <t>Computed</t>
        </is>
      </c>
      <c r="L230" s="32" t="n"/>
      <c r="M230" s="32" t="inlineStr">
        <is>
          <t>Computed</t>
        </is>
      </c>
      <c r="N230" s="32" t="inlineStr">
        <is>
          <t>High</t>
        </is>
      </c>
      <c r="O230" s="32" t="n"/>
      <c r="P230" s="32" t="inlineStr">
        <is>
          <t>Now</t>
        </is>
      </c>
      <c r="Q230" s="32" t="n"/>
      <c r="S230" s="10" t="inlineStr">
        <is>
          <t>Plan › Goals</t>
        </is>
      </c>
      <c r="T230" s="10" t="inlineStr">
        <is>
          <t>computed</t>
        </is>
      </c>
      <c r="U230" s="10" t="inlineStr"/>
      <c r="V230" s="33" t="inlineStr">
        <is>
          <t>7</t>
        </is>
      </c>
    </row>
    <row r="231">
      <c r="A231" s="32" t="inlineStr">
        <is>
          <t>F229</t>
        </is>
      </c>
      <c r="B231" s="32" t="inlineStr">
        <is>
          <t>Not started</t>
        </is>
      </c>
      <c r="C231" s="32" t="inlineStr">
        <is>
          <t>Later</t>
        </is>
      </c>
      <c r="D231" s="32" t="inlineStr">
        <is>
          <t>Goals</t>
        </is>
      </c>
      <c r="E231" s="32" t="inlineStr">
        <is>
          <t>Milestones</t>
        </is>
      </c>
      <c r="F231" s="32" t="inlineStr">
        <is>
          <t>True FI (after tax)</t>
        </is>
      </c>
      <c r="G231" s="32" t="inlineStr">
        <is>
          <t>Secondary</t>
        </is>
      </c>
      <c r="H231" s="32" t="inlineStr">
        <is>
          <t>Computed, unlockable</t>
        </is>
      </c>
      <c r="I231" s="32" t="inlineStr">
        <is>
          <t>Dramatic unlock after decumulation</t>
        </is>
      </c>
      <c r="J231" s="32" t="n"/>
      <c r="K231" s="32" t="inlineStr">
        <is>
          <t>Computed</t>
        </is>
      </c>
      <c r="L231" s="32" t="n"/>
      <c r="M231" s="32" t="inlineStr">
        <is>
          <t>Computed</t>
        </is>
      </c>
      <c r="N231" s="32" t="inlineStr">
        <is>
          <t>High</t>
        </is>
      </c>
      <c r="O231" s="32" t="n"/>
      <c r="P231" s="32" t="inlineStr">
        <is>
          <t>Later</t>
        </is>
      </c>
      <c r="Q231" s="32" t="n"/>
      <c r="S231" s="10" t="inlineStr">
        <is>
          <t>Plan › Goals</t>
        </is>
      </c>
      <c r="T231" s="10" t="inlineStr">
        <is>
          <t>computed</t>
        </is>
      </c>
      <c r="U231" s="10" t="inlineStr"/>
      <c r="V231" s="33" t="inlineStr">
        <is>
          <t>7</t>
        </is>
      </c>
    </row>
    <row r="232">
      <c r="A232" s="32" t="inlineStr">
        <is>
          <t>F230</t>
        </is>
      </c>
      <c r="B232" s="32" t="inlineStr">
        <is>
          <t>Not started</t>
        </is>
      </c>
      <c r="C232" s="32" t="inlineStr">
        <is>
          <t>Session 1</t>
        </is>
      </c>
      <c r="D232" s="32" t="inlineStr">
        <is>
          <t>Goals</t>
        </is>
      </c>
      <c r="E232" s="32" t="inlineStr">
        <is>
          <t>Milestones</t>
        </is>
      </c>
      <c r="F232" s="32" t="inlineStr">
        <is>
          <t>Debt free date</t>
        </is>
      </c>
      <c r="G232" s="32" t="inlineStr">
        <is>
          <t>Secondary</t>
        </is>
      </c>
      <c r="H232" s="32" t="inlineStr">
        <is>
          <t>Computed date</t>
        </is>
      </c>
      <c r="I232" s="32" t="inlineStr">
        <is>
          <t>Milestone</t>
        </is>
      </c>
      <c r="J232" s="32" t="n"/>
      <c r="K232" s="32" t="inlineStr">
        <is>
          <t>Computed</t>
        </is>
      </c>
      <c r="L232" s="32" t="n"/>
      <c r="M232" s="32" t="inlineStr">
        <is>
          <t>Computed</t>
        </is>
      </c>
      <c r="N232" s="32" t="inlineStr">
        <is>
          <t>Medium</t>
        </is>
      </c>
      <c r="O232" s="32" t="n"/>
      <c r="P232" s="32" t="inlineStr">
        <is>
          <t>Now</t>
        </is>
      </c>
      <c r="Q232" s="32" t="n"/>
      <c r="S232" s="10" t="inlineStr">
        <is>
          <t>Plan › Goals</t>
        </is>
      </c>
      <c r="T232" s="10" t="inlineStr">
        <is>
          <t>computed</t>
        </is>
      </c>
      <c r="U232" s="10" t="inlineStr"/>
      <c r="V232" s="33" t="inlineStr">
        <is>
          <t>7</t>
        </is>
      </c>
    </row>
    <row r="233">
      <c r="A233" s="32" t="inlineStr">
        <is>
          <t>F231</t>
        </is>
      </c>
      <c r="B233" s="32" t="inlineStr">
        <is>
          <t>Not started</t>
        </is>
      </c>
      <c r="C233" s="32" t="inlineStr">
        <is>
          <t>Session 2+</t>
        </is>
      </c>
      <c r="D233" s="32" t="inlineStr">
        <is>
          <t>Goals</t>
        </is>
      </c>
      <c r="E233" s="32" t="inlineStr">
        <is>
          <t>Milestones</t>
        </is>
      </c>
      <c r="F233" s="32" t="inlineStr">
        <is>
          <t>Custom milestone (at a date or when a condition is true)</t>
        </is>
      </c>
      <c r="G233" s="32" t="inlineStr">
        <is>
          <t>Tertiary</t>
        </is>
      </c>
      <c r="H233" s="32" t="inlineStr">
        <is>
          <t>Name plus date or condition</t>
        </is>
      </c>
      <c r="I233" s="32" t="inlineStr">
        <is>
          <t>Bind events to the timeline</t>
        </is>
      </c>
      <c r="J233" s="32" t="n"/>
      <c r="K233" s="32" t="inlineStr">
        <is>
          <t>Client</t>
        </is>
      </c>
      <c r="L233" s="32" t="n"/>
      <c r="M233" s="32" t="inlineStr">
        <is>
          <t>All</t>
        </is>
      </c>
      <c r="N233" s="32" t="inlineStr">
        <is>
          <t>Medium</t>
        </is>
      </c>
      <c r="O233" s="32" t="n"/>
      <c r="P233" s="32" t="inlineStr">
        <is>
          <t>Now</t>
        </is>
      </c>
      <c r="Q233" s="32" t="inlineStr">
        <is>
          <t>ProjectionLab pattern</t>
        </is>
      </c>
      <c r="S233" s="10" t="inlineStr">
        <is>
          <t>Plan › Goals</t>
        </is>
      </c>
      <c r="T233" s="10" t="inlineStr">
        <is>
          <t>date</t>
        </is>
      </c>
      <c r="U233" s="10" t="inlineStr"/>
      <c r="V233" s="33" t="inlineStr">
        <is>
          <t>7</t>
        </is>
      </c>
    </row>
    <row r="234">
      <c r="A234" s="32" t="inlineStr">
        <is>
          <t>F232</t>
        </is>
      </c>
      <c r="B234" s="32" t="inlineStr">
        <is>
          <t>Not started</t>
        </is>
      </c>
      <c r="C234" s="32" t="inlineStr">
        <is>
          <t>Session 1</t>
        </is>
      </c>
      <c r="D234" s="32" t="inlineStr">
        <is>
          <t>Goals</t>
        </is>
      </c>
      <c r="E234" s="32" t="inlineStr">
        <is>
          <t>Emergency fund</t>
        </is>
      </c>
      <c r="F234" s="32" t="inlineStr">
        <is>
          <t>Rule of 5 target (age / 5 months)</t>
        </is>
      </c>
      <c r="G234" s="32" t="inlineStr">
        <is>
          <t>Secondary</t>
        </is>
      </c>
      <c r="H234" s="32" t="inlineStr">
        <is>
          <t>Computed with monthly add</t>
        </is>
      </c>
      <c r="I234" s="32" t="inlineStr">
        <is>
          <t>Exactly how much to add each month</t>
        </is>
      </c>
      <c r="J234" s="32" t="n"/>
      <c r="K234" s="32" t="inlineStr">
        <is>
          <t>Computed</t>
        </is>
      </c>
      <c r="L234" s="32" t="n"/>
      <c r="M234" s="32" t="inlineStr">
        <is>
          <t>Computed</t>
        </is>
      </c>
      <c r="N234" s="32" t="inlineStr">
        <is>
          <t>High</t>
        </is>
      </c>
      <c r="O234" s="32" t="n"/>
      <c r="P234" s="32" t="inlineStr">
        <is>
          <t>Now</t>
        </is>
      </c>
      <c r="Q234" s="32" t="inlineStr">
        <is>
          <t>Adjusted by income stability</t>
        </is>
      </c>
      <c r="S234" s="10" t="inlineStr">
        <is>
          <t>Plan › Goals</t>
        </is>
      </c>
      <c r="T234" s="10" t="inlineStr">
        <is>
          <t>computed</t>
        </is>
      </c>
      <c r="U234" s="10" t="inlineStr"/>
      <c r="V234" s="33" t="inlineStr">
        <is>
          <t>7</t>
        </is>
      </c>
    </row>
    <row r="235">
      <c r="A235" s="32" t="inlineStr">
        <is>
          <t>F233</t>
        </is>
      </c>
      <c r="B235" s="32" t="inlineStr">
        <is>
          <t>Not started</t>
        </is>
      </c>
      <c r="C235" s="32" t="inlineStr">
        <is>
          <t>Later</t>
        </is>
      </c>
      <c r="D235" s="32" t="inlineStr">
        <is>
          <t>Goals</t>
        </is>
      </c>
      <c r="E235" s="32" t="inlineStr">
        <is>
          <t>Life events</t>
        </is>
      </c>
      <c r="F235" s="32" t="inlineStr">
        <is>
          <t>Scenario blocks (home, car, kid, job change, sabbatical, move, marriage, side hustle, inheritance)</t>
        </is>
      </c>
      <c r="G235" s="32" t="inlineStr">
        <is>
          <t>Tertiary</t>
        </is>
      </c>
      <c r="H235" s="32" t="inlineStr">
        <is>
          <t>Event picker grid</t>
        </is>
      </c>
      <c r="I235" s="32" t="inlineStr">
        <is>
          <t>Life simulator. Drag to reorder and see FI date move</t>
        </is>
      </c>
      <c r="J235" s="32" t="n"/>
      <c r="K235" s="32" t="inlineStr">
        <is>
          <t>Client</t>
        </is>
      </c>
      <c r="L235" s="32" t="n"/>
      <c r="M235" s="32" t="inlineStr">
        <is>
          <t>All</t>
        </is>
      </c>
      <c r="N235" s="32" t="inlineStr">
        <is>
          <t>High</t>
        </is>
      </c>
      <c r="O235" s="32" t="n"/>
      <c r="P235" s="32" t="inlineStr">
        <is>
          <t>Later</t>
        </is>
      </c>
      <c r="Q235" s="32" t="inlineStr">
        <is>
          <t>ProjectionLab milestone grid</t>
        </is>
      </c>
      <c r="S235" s="10" t="inlineStr">
        <is>
          <t>Plan › Goals</t>
        </is>
      </c>
      <c r="T235" s="10" t="inlineStr">
        <is>
          <t>choice</t>
        </is>
      </c>
      <c r="U235" s="10" t="inlineStr"/>
      <c r="V235" s="33" t="inlineStr">
        <is>
          <t>7</t>
        </is>
      </c>
    </row>
    <row r="236">
      <c r="A236" s="32" t="inlineStr">
        <is>
          <t>F234</t>
        </is>
      </c>
      <c r="B236" s="32" t="inlineStr">
        <is>
          <t>Not started</t>
        </is>
      </c>
      <c r="C236" s="32" t="inlineStr">
        <is>
          <t>Later</t>
        </is>
      </c>
      <c r="D236" s="32" t="inlineStr">
        <is>
          <t>Goals</t>
        </is>
      </c>
      <c r="E236" s="32" t="inlineStr">
        <is>
          <t>What Matters</t>
        </is>
      </c>
      <c r="F236" s="32" t="inlineStr">
        <is>
          <t>Ranked priorities (fund and remove)</t>
        </is>
      </c>
      <c r="G236" s="32" t="inlineStr">
        <is>
          <t>Tertiary</t>
        </is>
      </c>
      <c r="H236" s="32" t="inlineStr">
        <is>
          <t>Two ranked lists</t>
        </is>
      </c>
      <c r="I236" s="32" t="inlineStr">
        <is>
          <t>Spending vs priorities</t>
        </is>
      </c>
      <c r="J236" s="32" t="n"/>
      <c r="K236" s="32" t="inlineStr">
        <is>
          <t>Client</t>
        </is>
      </c>
      <c r="L236" s="32" t="n"/>
      <c r="M236" s="32" t="inlineStr">
        <is>
          <t>All</t>
        </is>
      </c>
      <c r="N236" s="32" t="inlineStr">
        <is>
          <t>Medium</t>
        </is>
      </c>
      <c r="O236" s="32" t="n"/>
      <c r="P236" s="32" t="inlineStr">
        <is>
          <t>Later</t>
        </is>
      </c>
      <c r="Q236" s="32" t="n"/>
      <c r="S236" s="10" t="inlineStr">
        <is>
          <t>Plan › Goals</t>
        </is>
      </c>
      <c r="T236" s="10" t="inlineStr">
        <is>
          <t>text</t>
        </is>
      </c>
      <c r="U236" s="10" t="inlineStr"/>
      <c r="V236" s="33" t="inlineStr">
        <is>
          <t>7</t>
        </is>
      </c>
    </row>
    <row r="237">
      <c r="A237" s="32" t="inlineStr">
        <is>
          <t>F235</t>
        </is>
      </c>
      <c r="B237" s="32" t="inlineStr">
        <is>
          <t>Not started</t>
        </is>
      </c>
      <c r="C237" s="32" t="inlineStr">
        <is>
          <t>Parked</t>
        </is>
      </c>
      <c r="D237" s="32" t="inlineStr">
        <is>
          <t>Goals</t>
        </is>
      </c>
      <c r="E237" s="32" t="inlineStr">
        <is>
          <t>Dream</t>
        </is>
      </c>
      <c r="F237" s="32" t="inlineStr">
        <is>
          <t>Best case / dream life</t>
        </is>
      </c>
      <c r="G237" s="32" t="inlineStr">
        <is>
          <t>Tertiary</t>
        </is>
      </c>
      <c r="H237" s="32" t="inlineStr">
        <is>
          <t>Free text plus cost</t>
        </is>
      </c>
      <c r="I237" s="32" t="inlineStr">
        <is>
          <t>Eras intro</t>
        </is>
      </c>
      <c r="J237" s="32" t="n"/>
      <c r="K237" s="32" t="inlineStr">
        <is>
          <t>Client</t>
        </is>
      </c>
      <c r="L237" s="32" t="n"/>
      <c r="M237" s="32" t="inlineStr">
        <is>
          <t>All</t>
        </is>
      </c>
      <c r="N237" s="32" t="inlineStr">
        <is>
          <t>Low</t>
        </is>
      </c>
      <c r="O237" s="32" t="n"/>
      <c r="P237" s="32" t="inlineStr">
        <is>
          <t>Parked</t>
        </is>
      </c>
      <c r="Q237" s="32" t="inlineStr">
        <is>
          <t>Parked Oct 18</t>
        </is>
      </c>
      <c r="S237" s="10" t="inlineStr">
        <is>
          <t>Plan › Goals</t>
        </is>
      </c>
      <c r="T237" s="10" t="inlineStr">
        <is>
          <t>text</t>
        </is>
      </c>
      <c r="U237" s="10" t="inlineStr"/>
      <c r="V237" s="33" t="inlineStr">
        <is>
          <t>7</t>
        </is>
      </c>
    </row>
    <row r="238">
      <c r="A238" s="32" t="inlineStr">
        <is>
          <t>F236</t>
        </is>
      </c>
      <c r="B238" s="32" t="inlineStr">
        <is>
          <t>Not started</t>
        </is>
      </c>
      <c r="C238" s="32" t="inlineStr">
        <is>
          <t>Discovery</t>
        </is>
      </c>
      <c r="D238" s="32" t="inlineStr">
        <is>
          <t>Coaching</t>
        </is>
      </c>
      <c r="E238" s="32" t="inlineStr">
        <is>
          <t>Discovery call</t>
        </is>
      </c>
      <c r="F238" s="32" t="inlineStr">
        <is>
          <t>Discovery table numbers</t>
        </is>
      </c>
      <c r="G238" s="32" t="inlineStr">
        <is>
          <t>Secondary</t>
        </is>
      </c>
      <c r="H238" s="32" t="inlineStr">
        <is>
          <t>Quick table, populates the map</t>
        </is>
      </c>
      <c r="I238" s="32" t="inlineStr">
        <is>
          <t>Not starting blind in session 1</t>
        </is>
      </c>
      <c r="J238" s="32" t="n"/>
      <c r="K238" s="32" t="inlineStr">
        <is>
          <t>Coach</t>
        </is>
      </c>
      <c r="L238" s="32" t="n"/>
      <c r="M238" s="32" t="inlineStr">
        <is>
          <t>Know it</t>
        </is>
      </c>
      <c r="N238" s="32" t="inlineStr">
        <is>
          <t>Medium</t>
        </is>
      </c>
      <c r="O238" s="32" t="n"/>
      <c r="P238" s="32" t="inlineStr">
        <is>
          <t>Now</t>
        </is>
      </c>
      <c r="Q238" s="32" t="n"/>
      <c r="S238" s="10" t="inlineStr">
        <is>
          <t>Home / ⚙ Coach tools</t>
        </is>
      </c>
      <c r="T238" s="10" t="inlineStr">
        <is>
          <t>text</t>
        </is>
      </c>
      <c r="U238" s="10" t="inlineStr"/>
      <c r="V238" s="33" t="inlineStr">
        <is>
          <t>9-10</t>
        </is>
      </c>
    </row>
    <row r="239">
      <c r="A239" s="32" t="inlineStr">
        <is>
          <t>F237</t>
        </is>
      </c>
      <c r="B239" s="32" t="inlineStr">
        <is>
          <t>Not started</t>
        </is>
      </c>
      <c r="C239" s="32" t="inlineStr">
        <is>
          <t>Session 1</t>
        </is>
      </c>
      <c r="D239" s="32" t="inlineStr">
        <is>
          <t>Coaching</t>
        </is>
      </c>
      <c r="E239" s="32" t="inlineStr">
        <is>
          <t>Session</t>
        </is>
      </c>
      <c r="F239" s="32" t="inlineStr">
        <is>
          <t>Session date and agenda</t>
        </is>
      </c>
      <c r="G239" s="32" t="inlineStr">
        <is>
          <t>Secondary</t>
        </is>
      </c>
      <c r="H239" s="32" t="inlineStr">
        <is>
          <t>Agenda on Home</t>
        </is>
      </c>
      <c r="I239" s="32" t="inlineStr">
        <is>
          <t>Guide me path</t>
        </is>
      </c>
      <c r="J239" s="32" t="n"/>
      <c r="K239" s="32" t="inlineStr">
        <is>
          <t>Coach</t>
        </is>
      </c>
      <c r="L239" s="32" t="n"/>
      <c r="M239" s="32" t="inlineStr">
        <is>
          <t>Know it</t>
        </is>
      </c>
      <c r="N239" s="32" t="inlineStr">
        <is>
          <t>Medium</t>
        </is>
      </c>
      <c r="O239" s="32" t="n"/>
      <c r="P239" s="32" t="inlineStr">
        <is>
          <t>Now</t>
        </is>
      </c>
      <c r="Q239" s="32" t="n"/>
      <c r="S239" s="10" t="inlineStr">
        <is>
          <t>Home / ⚙ Coach tools</t>
        </is>
      </c>
      <c r="T239" s="10" t="inlineStr">
        <is>
          <t>text</t>
        </is>
      </c>
      <c r="U239" s="10" t="inlineStr"/>
      <c r="V239" s="33" t="inlineStr">
        <is>
          <t>9-10</t>
        </is>
      </c>
    </row>
    <row r="240">
      <c r="A240" s="32" t="inlineStr">
        <is>
          <t>F238</t>
        </is>
      </c>
      <c r="B240" s="32" t="inlineStr">
        <is>
          <t>Not started</t>
        </is>
      </c>
      <c r="C240" s="32" t="inlineStr">
        <is>
          <t>Session 1</t>
        </is>
      </c>
      <c r="D240" s="32" t="inlineStr">
        <is>
          <t>Coaching</t>
        </is>
      </c>
      <c r="E240" s="32" t="inlineStr">
        <is>
          <t>Session</t>
        </is>
      </c>
      <c r="F240" s="32" t="inlineStr">
        <is>
          <t>Session notes</t>
        </is>
      </c>
      <c r="G240" s="32" t="inlineStr">
        <is>
          <t>Secondary</t>
        </is>
      </c>
      <c r="H240" s="32" t="inlineStr">
        <is>
          <t>Collapsed notes box</t>
        </is>
      </c>
      <c r="I240" s="32" t="inlineStr">
        <is>
          <t>Coach only</t>
        </is>
      </c>
      <c r="J240" s="32" t="n"/>
      <c r="K240" s="32" t="inlineStr">
        <is>
          <t>Coach</t>
        </is>
      </c>
      <c r="L240" s="32" t="n"/>
      <c r="M240" s="32" t="inlineStr">
        <is>
          <t>Know it</t>
        </is>
      </c>
      <c r="N240" s="32" t="inlineStr">
        <is>
          <t>Medium</t>
        </is>
      </c>
      <c r="O240" s="32" t="n"/>
      <c r="P240" s="32" t="inlineStr">
        <is>
          <t>Now</t>
        </is>
      </c>
      <c r="Q240" s="32" t="n"/>
      <c r="S240" s="10" t="inlineStr">
        <is>
          <t>Home / ⚙ Coach tools</t>
        </is>
      </c>
      <c r="T240" s="10" t="inlineStr">
        <is>
          <t>text</t>
        </is>
      </c>
      <c r="U240" s="10" t="inlineStr"/>
      <c r="V240" s="33" t="inlineStr">
        <is>
          <t>9-10</t>
        </is>
      </c>
    </row>
    <row r="241">
      <c r="A241" s="32" t="inlineStr">
        <is>
          <t>F239</t>
        </is>
      </c>
      <c r="B241" s="32" t="inlineStr">
        <is>
          <t>Not started</t>
        </is>
      </c>
      <c r="C241" s="32" t="inlineStr">
        <is>
          <t>Session 1</t>
        </is>
      </c>
      <c r="D241" s="32" t="inlineStr">
        <is>
          <t>Coaching</t>
        </is>
      </c>
      <c r="E241" s="32" t="inlineStr">
        <is>
          <t>Homework</t>
        </is>
      </c>
      <c r="F241" s="32" t="inlineStr">
        <is>
          <t>Homework list (auto from fields marked 'will email')</t>
        </is>
      </c>
      <c r="G241" s="32" t="inlineStr">
        <is>
          <t>Secondary</t>
        </is>
      </c>
      <c r="H241" s="32" t="inlineStr">
        <is>
          <t>Checklist with due date</t>
        </is>
      </c>
      <c r="I241" s="32" t="inlineStr">
        <is>
          <t>Client to-dos</t>
        </is>
      </c>
      <c r="J241" s="32" t="n"/>
      <c r="K241" s="32" t="inlineStr">
        <is>
          <t>Coach</t>
        </is>
      </c>
      <c r="L241" s="32" t="n"/>
      <c r="M241" s="32" t="inlineStr">
        <is>
          <t>Know it</t>
        </is>
      </c>
      <c r="N241" s="32" t="inlineStr">
        <is>
          <t>Medium</t>
        </is>
      </c>
      <c r="O241" s="32" t="n"/>
      <c r="P241" s="32" t="inlineStr">
        <is>
          <t>Now</t>
        </is>
      </c>
      <c r="Q241" s="32" t="n"/>
      <c r="S241" s="10" t="inlineStr">
        <is>
          <t>Home / ⚙ Coach tools</t>
        </is>
      </c>
      <c r="T241" s="10" t="inlineStr">
        <is>
          <t>date</t>
        </is>
      </c>
      <c r="U241" s="10" t="inlineStr"/>
      <c r="V241" s="33" t="inlineStr">
        <is>
          <t>9-10</t>
        </is>
      </c>
    </row>
    <row r="242">
      <c r="A242" s="32" t="inlineStr">
        <is>
          <t>F240</t>
        </is>
      </c>
      <c r="B242" s="32" t="inlineStr">
        <is>
          <t>Not started</t>
        </is>
      </c>
      <c r="C242" s="32" t="inlineStr">
        <is>
          <t>Session 1</t>
        </is>
      </c>
      <c r="D242" s="32" t="inlineStr">
        <is>
          <t>Coaching</t>
        </is>
      </c>
      <c r="E242" s="32" t="inlineStr">
        <is>
          <t>One-pager</t>
        </is>
      </c>
      <c r="F242" s="32" t="inlineStr">
        <is>
          <t>Key stats, things to know, to-dos, goals</t>
        </is>
      </c>
      <c r="G242" s="32" t="inlineStr">
        <is>
          <t>Secondary</t>
        </is>
      </c>
      <c r="H242" s="32" t="inlineStr">
        <is>
          <t>Auto-filled, editable</t>
        </is>
      </c>
      <c r="I242" s="32" t="inlineStr">
        <is>
          <t>End-of-session one-pager</t>
        </is>
      </c>
      <c r="J242" s="32" t="n"/>
      <c r="K242" s="32" t="inlineStr">
        <is>
          <t>Coach</t>
        </is>
      </c>
      <c r="L242" s="32" t="n"/>
      <c r="M242" s="32" t="inlineStr">
        <is>
          <t>Know it</t>
        </is>
      </c>
      <c r="N242" s="32" t="inlineStr">
        <is>
          <t>Medium</t>
        </is>
      </c>
      <c r="O242" s="32" t="n"/>
      <c r="P242" s="32" t="inlineStr">
        <is>
          <t>Now</t>
        </is>
      </c>
      <c r="Q242" s="32" t="n"/>
      <c r="S242" s="10" t="inlineStr">
        <is>
          <t>Home / ⚙ Coach tools</t>
        </is>
      </c>
      <c r="T242" s="10" t="inlineStr">
        <is>
          <t>text</t>
        </is>
      </c>
      <c r="U242" s="10" t="inlineStr"/>
      <c r="V242" s="33" t="inlineStr">
        <is>
          <t>9-10</t>
        </is>
      </c>
    </row>
    <row r="243">
      <c r="A243" s="32" t="inlineStr">
        <is>
          <t>F241</t>
        </is>
      </c>
      <c r="B243" s="32" t="inlineStr">
        <is>
          <t>Not started</t>
        </is>
      </c>
      <c r="C243" s="32" t="inlineStr">
        <is>
          <t>Session 1</t>
        </is>
      </c>
      <c r="D243" s="32" t="inlineStr">
        <is>
          <t>Coaching</t>
        </is>
      </c>
      <c r="E243" s="32" t="inlineStr">
        <is>
          <t>One-pager</t>
        </is>
      </c>
      <c r="F243" s="32" t="inlineStr">
        <is>
          <t>Strengths, struggles, do more of, do less of</t>
        </is>
      </c>
      <c r="G243" s="32" t="inlineStr">
        <is>
          <t>Secondary</t>
        </is>
      </c>
      <c r="H243" s="32" t="inlineStr">
        <is>
          <t>Four short boxes</t>
        </is>
      </c>
      <c r="I243" s="32" t="inlineStr">
        <is>
          <t>Coaching summary</t>
        </is>
      </c>
      <c r="J243" s="32" t="n"/>
      <c r="K243" s="32" t="inlineStr">
        <is>
          <t>Coach</t>
        </is>
      </c>
      <c r="L243" s="32" t="n"/>
      <c r="M243" s="32" t="inlineStr">
        <is>
          <t>Know it</t>
        </is>
      </c>
      <c r="N243" s="32" t="inlineStr">
        <is>
          <t>Medium</t>
        </is>
      </c>
      <c r="O243" s="32" t="n"/>
      <c r="P243" s="32" t="inlineStr">
        <is>
          <t>Now</t>
        </is>
      </c>
      <c r="Q243" s="32" t="n"/>
      <c r="S243" s="10" t="inlineStr">
        <is>
          <t>Home / ⚙ Coach tools</t>
        </is>
      </c>
      <c r="T243" s="10" t="inlineStr">
        <is>
          <t>text</t>
        </is>
      </c>
      <c r="U243" s="10" t="inlineStr"/>
      <c r="V243" s="33" t="inlineStr">
        <is>
          <t>9-10</t>
        </is>
      </c>
    </row>
    <row r="244">
      <c r="A244" s="32" t="inlineStr">
        <is>
          <t>F242</t>
        </is>
      </c>
      <c r="B244" s="32" t="inlineStr">
        <is>
          <t>Not started</t>
        </is>
      </c>
      <c r="C244" s="32" t="inlineStr">
        <is>
          <t>Monthly</t>
        </is>
      </c>
      <c r="D244" s="32" t="inlineStr">
        <is>
          <t>Coaching</t>
        </is>
      </c>
      <c r="E244" s="32" t="inlineStr">
        <is>
          <t>Money date</t>
        </is>
      </c>
      <c r="F244" s="32" t="inlineStr">
        <is>
          <t>Monthly check-in notes and next check date</t>
        </is>
      </c>
      <c r="G244" s="32" t="inlineStr">
        <is>
          <t>Secondary</t>
        </is>
      </c>
      <c r="H244" s="32" t="inlineStr">
        <is>
          <t>Date plus notes</t>
        </is>
      </c>
      <c r="I244" s="32" t="inlineStr">
        <is>
          <t>Maintenance tier</t>
        </is>
      </c>
      <c r="J244" s="32" t="n"/>
      <c r="K244" s="32" t="inlineStr">
        <is>
          <t>Coach</t>
        </is>
      </c>
      <c r="L244" s="32" t="n"/>
      <c r="M244" s="32" t="inlineStr">
        <is>
          <t>Know it</t>
        </is>
      </c>
      <c r="N244" s="32" t="inlineStr">
        <is>
          <t>Medium</t>
        </is>
      </c>
      <c r="O244" s="32" t="n"/>
      <c r="P244" s="32" t="inlineStr">
        <is>
          <t>Now</t>
        </is>
      </c>
      <c r="Q244" s="32" t="n"/>
      <c r="S244" s="10" t="inlineStr">
        <is>
          <t>Home / ⚙ Coach tools</t>
        </is>
      </c>
      <c r="T244" s="10" t="inlineStr">
        <is>
          <t>date</t>
        </is>
      </c>
      <c r="U244" s="10" t="inlineStr"/>
      <c r="V244" s="33" t="inlineStr">
        <is>
          <t>9-10</t>
        </is>
      </c>
    </row>
    <row r="245">
      <c r="A245" s="32" t="inlineStr">
        <is>
          <t>F243</t>
        </is>
      </c>
      <c r="B245" s="32" t="inlineStr">
        <is>
          <t>Not started</t>
        </is>
      </c>
      <c r="C245" s="32" t="inlineStr">
        <is>
          <t>Monthly</t>
        </is>
      </c>
      <c r="D245" s="32" t="inlineStr">
        <is>
          <t>Coaching</t>
        </is>
      </c>
      <c r="E245" s="32" t="inlineStr">
        <is>
          <t>Scoreboard</t>
        </is>
      </c>
      <c r="F245" s="32" t="inlineStr">
        <is>
          <t>Client satisfaction score</t>
        </is>
      </c>
      <c r="G245" s="32" t="inlineStr">
        <is>
          <t>Secondary</t>
        </is>
      </c>
      <c r="H245" s="32" t="inlineStr">
        <is>
          <t>1 to 10</t>
        </is>
      </c>
      <c r="I245" s="32" t="inlineStr">
        <is>
          <t>On the scoreboard (Oct 8)</t>
        </is>
      </c>
      <c r="J245" s="32" t="n"/>
      <c r="K245" s="32" t="inlineStr">
        <is>
          <t>Coach</t>
        </is>
      </c>
      <c r="L245" s="32" t="n"/>
      <c r="M245" s="32" t="inlineStr">
        <is>
          <t>Know it</t>
        </is>
      </c>
      <c r="N245" s="32" t="inlineStr">
        <is>
          <t>Medium</t>
        </is>
      </c>
      <c r="O245" s="32" t="n"/>
      <c r="P245" s="32" t="inlineStr">
        <is>
          <t>Now</t>
        </is>
      </c>
      <c r="Q245" s="32" t="n"/>
      <c r="S245" s="10" t="inlineStr">
        <is>
          <t>Home / ⚙ Coach tools</t>
        </is>
      </c>
      <c r="T245" s="10" t="inlineStr">
        <is>
          <t>text</t>
        </is>
      </c>
      <c r="U245" s="10" t="inlineStr"/>
      <c r="V245" s="33" t="inlineStr">
        <is>
          <t>9-10</t>
        </is>
      </c>
    </row>
    <row r="246">
      <c r="A246" s="32" t="inlineStr">
        <is>
          <t>F244</t>
        </is>
      </c>
      <c r="B246" s="32" t="inlineStr">
        <is>
          <t>Not started</t>
        </is>
      </c>
      <c r="C246" s="32" t="inlineStr">
        <is>
          <t>Session 1</t>
        </is>
      </c>
      <c r="D246" s="32" t="inlineStr">
        <is>
          <t>Coaching</t>
        </is>
      </c>
      <c r="E246" s="32" t="inlineStr">
        <is>
          <t>Every number</t>
        </is>
      </c>
      <c r="F246" s="32" t="inlineStr">
        <is>
          <t>Next check date for rough or aged numbers</t>
        </is>
      </c>
      <c r="G246" s="32" t="inlineStr">
        <is>
          <t>Secondary</t>
        </is>
      </c>
      <c r="H246" s="32" t="inlineStr">
        <is>
          <t>Date (auto from age)</t>
        </is>
      </c>
      <c r="I246" s="32" t="inlineStr">
        <is>
          <t>Refresh nag</t>
        </is>
      </c>
      <c r="J246" s="32" t="n"/>
      <c r="K246" s="32" t="inlineStr">
        <is>
          <t>Coach</t>
        </is>
      </c>
      <c r="L246" s="32" t="n"/>
      <c r="M246" s="32" t="inlineStr">
        <is>
          <t>Know it</t>
        </is>
      </c>
      <c r="N246" s="32" t="inlineStr">
        <is>
          <t>Medium</t>
        </is>
      </c>
      <c r="O246" s="32" t="n"/>
      <c r="P246" s="32" t="inlineStr">
        <is>
          <t>Now</t>
        </is>
      </c>
      <c r="Q246" s="32" t="n"/>
      <c r="S246" s="10" t="inlineStr">
        <is>
          <t>Home / ⚙ Coach tools</t>
        </is>
      </c>
      <c r="T246" s="10" t="inlineStr">
        <is>
          <t>date</t>
        </is>
      </c>
      <c r="U246" s="10" t="inlineStr"/>
      <c r="V246" s="33" t="inlineStr">
        <is>
          <t>9-10</t>
        </is>
      </c>
    </row>
    <row r="247">
      <c r="A247" s="32" t="inlineStr">
        <is>
          <t>F245</t>
        </is>
      </c>
      <c r="B247" s="32" t="inlineStr">
        <is>
          <t>Not started</t>
        </is>
      </c>
      <c r="C247" s="32" t="inlineStr">
        <is>
          <t>Session 1</t>
        </is>
      </c>
      <c r="D247" s="32" t="inlineStr">
        <is>
          <t>Coaching</t>
        </is>
      </c>
      <c r="E247" s="32" t="inlineStr">
        <is>
          <t>Why now</t>
        </is>
      </c>
      <c r="F247" s="32" t="inlineStr">
        <is>
          <t>What prompted this call</t>
        </is>
      </c>
      <c r="G247" s="32" t="inlineStr">
        <is>
          <t>Primary</t>
        </is>
      </c>
      <c r="H247" s="32" t="inlineStr">
        <is>
          <t>Text box</t>
        </is>
      </c>
      <c r="I247" s="32" t="inlineStr">
        <is>
          <t>Client's own words; feeds the one-pager</t>
        </is>
      </c>
      <c r="J247" s="32" t="n"/>
      <c r="K247" s="32" t="inlineStr">
        <is>
          <t>Client</t>
        </is>
      </c>
      <c r="L247" s="32" t="n"/>
      <c r="M247" s="32" t="inlineStr">
        <is>
          <t>Know it</t>
        </is>
      </c>
      <c r="N247" s="32" t="inlineStr">
        <is>
          <t>High</t>
        </is>
      </c>
      <c r="O247" s="32" t="n"/>
      <c r="P247" s="32" t="inlineStr">
        <is>
          <t>Now</t>
        </is>
      </c>
      <c r="Q247" s="32" t="n"/>
      <c r="S247" s="10" t="inlineStr">
        <is>
          <t>Home / ⚙ Coach tools</t>
        </is>
      </c>
      <c r="T247" s="10" t="inlineStr">
        <is>
          <t>text</t>
        </is>
      </c>
      <c r="U247" s="10" t="inlineStr"/>
      <c r="V247" s="33" t="inlineStr">
        <is>
          <t>9-10</t>
        </is>
      </c>
    </row>
    <row r="248">
      <c r="A248" s="32" t="inlineStr">
        <is>
          <t>F246</t>
        </is>
      </c>
      <c r="B248" s="32" t="inlineStr">
        <is>
          <t>Not started</t>
        </is>
      </c>
      <c r="C248" s="32" t="inlineStr">
        <is>
          <t>Session 1</t>
        </is>
      </c>
      <c r="D248" s="32" t="inlineStr">
        <is>
          <t>Coaching</t>
        </is>
      </c>
      <c r="E248" s="32" t="inlineStr">
        <is>
          <t>Why now</t>
        </is>
      </c>
      <c r="F248" s="32" t="inlineStr">
        <is>
          <t>Biggest worry and goal in their words</t>
        </is>
      </c>
      <c r="G248" s="32" t="inlineStr">
        <is>
          <t>Primary</t>
        </is>
      </c>
      <c r="H248" s="32" t="inlineStr">
        <is>
          <t>Two text boxes</t>
        </is>
      </c>
      <c r="I248" s="32" t="inlineStr">
        <is>
          <t>Sets the session focus</t>
        </is>
      </c>
      <c r="J248" s="32" t="n"/>
      <c r="K248" s="32" t="inlineStr">
        <is>
          <t>Client</t>
        </is>
      </c>
      <c r="L248" s="32" t="n"/>
      <c r="M248" s="32" t="inlineStr">
        <is>
          <t>Know it</t>
        </is>
      </c>
      <c r="N248" s="32" t="inlineStr">
        <is>
          <t>High</t>
        </is>
      </c>
      <c r="O248" s="32" t="n"/>
      <c r="P248" s="32" t="inlineStr">
        <is>
          <t>Now</t>
        </is>
      </c>
      <c r="Q248" s="32" t="n"/>
      <c r="S248" s="10" t="inlineStr">
        <is>
          <t>Home / ⚙ Coach tools</t>
        </is>
      </c>
      <c r="T248" s="10" t="inlineStr">
        <is>
          <t>text</t>
        </is>
      </c>
      <c r="U248" s="10" t="inlineStr"/>
      <c r="V248" s="33" t="inlineStr">
        <is>
          <t>9-10</t>
        </is>
      </c>
    </row>
    <row r="249">
      <c r="A249" s="32" t="inlineStr">
        <is>
          <t>F247</t>
        </is>
      </c>
      <c r="B249" s="32" t="inlineStr">
        <is>
          <t>Not started</t>
        </is>
      </c>
      <c r="C249" s="32" t="inlineStr">
        <is>
          <t>Session 1</t>
        </is>
      </c>
      <c r="D249" s="32" t="inlineStr">
        <is>
          <t>Coaching</t>
        </is>
      </c>
      <c r="E249" s="32" t="inlineStr">
        <is>
          <t>Why now</t>
        </is>
      </c>
      <c r="F249" s="32" t="inlineStr">
        <is>
          <t>Money feeling 1-10</t>
        </is>
      </c>
      <c r="G249" s="32" t="inlineStr">
        <is>
          <t>Secondary</t>
        </is>
      </c>
      <c r="H249" s="32" t="inlineStr">
        <is>
          <t>Stepper</t>
        </is>
      </c>
      <c r="I249" s="32" t="inlineStr">
        <is>
          <t>Asked every session to show change</t>
        </is>
      </c>
      <c r="J249" s="32" t="n"/>
      <c r="K249" s="32" t="inlineStr">
        <is>
          <t>Client</t>
        </is>
      </c>
      <c r="L249" s="32" t="n"/>
      <c r="M249" s="32" t="inlineStr">
        <is>
          <t>Know it</t>
        </is>
      </c>
      <c r="N249" s="32" t="inlineStr">
        <is>
          <t>Medium</t>
        </is>
      </c>
      <c r="O249" s="32" t="n"/>
      <c r="P249" s="32" t="inlineStr">
        <is>
          <t>Now</t>
        </is>
      </c>
      <c r="Q249" s="32" t="n"/>
      <c r="S249" s="10" t="inlineStr">
        <is>
          <t>Home / ⚙ Coach tools</t>
        </is>
      </c>
      <c r="T249" s="10" t="inlineStr">
        <is>
          <t>whole number</t>
        </is>
      </c>
      <c r="U249" s="10" t="inlineStr"/>
      <c r="V249" s="33" t="inlineStr">
        <is>
          <t>9-10</t>
        </is>
      </c>
    </row>
    <row r="250">
      <c r="A250" s="32" t="inlineStr">
        <is>
          <t>F248</t>
        </is>
      </c>
      <c r="B250" s="32" t="inlineStr">
        <is>
          <t>Not started</t>
        </is>
      </c>
      <c r="C250" s="32" t="inlineStr">
        <is>
          <t>Session 1</t>
        </is>
      </c>
      <c r="D250" s="32" t="inlineStr">
        <is>
          <t>Coaching</t>
        </is>
      </c>
      <c r="E250" s="32" t="inlineStr">
        <is>
          <t>Parking lot</t>
        </is>
      </c>
      <c r="F250" s="32" t="inlineStr">
        <is>
          <t>Quick notes</t>
        </is>
      </c>
      <c r="G250" s="32" t="inlineStr">
        <is>
          <t>Primary</t>
        </is>
      </c>
      <c r="H250" s="32" t="inlineStr">
        <is>
          <t>Always-visible note box</t>
        </is>
      </c>
      <c r="I250" s="32" t="inlineStr">
        <is>
          <t>Things the client mentions mid-sentence; convert to fields later</t>
        </is>
      </c>
      <c r="J250" s="32" t="n"/>
      <c r="K250" s="32" t="inlineStr">
        <is>
          <t>Coach</t>
        </is>
      </c>
      <c r="L250" s="32" t="n"/>
      <c r="M250" s="32" t="inlineStr">
        <is>
          <t>Know it</t>
        </is>
      </c>
      <c r="N250" s="32" t="inlineStr">
        <is>
          <t>Medium</t>
        </is>
      </c>
      <c r="O250" s="32" t="n"/>
      <c r="P250" s="32" t="inlineStr">
        <is>
          <t>Now</t>
        </is>
      </c>
      <c r="Q250" s="32" t="n"/>
      <c r="S250" s="10" t="inlineStr">
        <is>
          <t>Home / ⚙ Coach tools</t>
        </is>
      </c>
      <c r="T250" s="10" t="inlineStr">
        <is>
          <t>text</t>
        </is>
      </c>
      <c r="U250" s="10" t="inlineStr"/>
      <c r="V250" s="33" t="inlineStr">
        <is>
          <t>9-10</t>
        </is>
      </c>
    </row>
    <row r="251">
      <c r="A251" s="32" t="inlineStr">
        <is>
          <t>F249</t>
        </is>
      </c>
      <c r="B251" s="32" t="inlineStr">
        <is>
          <t>Not started</t>
        </is>
      </c>
      <c r="C251" s="32" t="inlineStr">
        <is>
          <t>Session 1</t>
        </is>
      </c>
      <c r="D251" s="32" t="inlineStr">
        <is>
          <t>Profile</t>
        </is>
      </c>
      <c r="E251" s="32" t="inlineStr">
        <is>
          <t>Couples split</t>
        </is>
      </c>
      <c r="F251" s="32" t="inlineStr">
        <is>
          <t>Joint, separate or mix</t>
        </is>
      </c>
      <c r="G251" s="32" t="inlineStr">
        <is>
          <t>Secondary</t>
        </is>
      </c>
      <c r="H251" s="32" t="inlineStr">
        <is>
          <t>Toggle</t>
        </is>
      </c>
      <c r="I251" s="32" t="inlineStr">
        <is>
          <t>How a couple runs money</t>
        </is>
      </c>
      <c r="J251" s="32" t="n"/>
      <c r="K251" s="32" t="inlineStr">
        <is>
          <t>Client</t>
        </is>
      </c>
      <c r="L251" s="32" t="n"/>
      <c r="M251" s="32" t="inlineStr">
        <is>
          <t>All</t>
        </is>
      </c>
      <c r="N251" s="32" t="inlineStr">
        <is>
          <t>Medium</t>
        </is>
      </c>
      <c r="O251" s="32" t="n"/>
      <c r="P251" s="32" t="inlineStr">
        <is>
          <t>Now</t>
        </is>
      </c>
      <c r="Q251" s="32" t="n"/>
      <c r="S251" s="10" t="inlineStr">
        <is>
          <t>My Money › Profile</t>
        </is>
      </c>
      <c r="T251" s="10" t="inlineStr">
        <is>
          <t>choice</t>
        </is>
      </c>
      <c r="U251" s="10" t="inlineStr"/>
      <c r="V251" s="33" t="inlineStr">
        <is>
          <t>5</t>
        </is>
      </c>
    </row>
    <row r="252">
      <c r="A252" s="32" t="inlineStr">
        <is>
          <t>F250</t>
        </is>
      </c>
      <c r="B252" s="32" t="inlineStr">
        <is>
          <t>Not started</t>
        </is>
      </c>
      <c r="C252" s="32" t="inlineStr">
        <is>
          <t>Session 1</t>
        </is>
      </c>
      <c r="D252" s="32" t="inlineStr">
        <is>
          <t>Profile</t>
        </is>
      </c>
      <c r="E252" s="32" t="inlineStr">
        <is>
          <t>Couples split</t>
        </is>
      </c>
      <c r="F252" s="32" t="inlineStr">
        <is>
          <t>Who pays what (% or fixed)</t>
        </is>
      </c>
      <c r="G252" s="32" t="inlineStr">
        <is>
          <t>Secondary</t>
        </is>
      </c>
      <c r="H252" s="32" t="inlineStr">
        <is>
          <t>Split table</t>
        </is>
      </c>
      <c r="I252" s="32" t="inlineStr">
        <is>
          <t>Housing, food, bills</t>
        </is>
      </c>
      <c r="J252" s="32" t="n"/>
      <c r="K252" s="32" t="inlineStr">
        <is>
          <t>Client</t>
        </is>
      </c>
      <c r="L252" s="32" t="n"/>
      <c r="M252" s="32" t="inlineStr">
        <is>
          <t>All</t>
        </is>
      </c>
      <c r="N252" s="32" t="inlineStr">
        <is>
          <t>Medium</t>
        </is>
      </c>
      <c r="O252" s="32" t="n"/>
      <c r="P252" s="32" t="inlineStr">
        <is>
          <t>Now</t>
        </is>
      </c>
      <c r="Q252" s="32" t="n"/>
      <c r="S252" s="10" t="inlineStr">
        <is>
          <t>My Money › Profile</t>
        </is>
      </c>
      <c r="T252" s="10" t="inlineStr">
        <is>
          <t>text</t>
        </is>
      </c>
      <c r="U252" s="10" t="inlineStr"/>
      <c r="V252" s="33" t="inlineStr">
        <is>
          <t>5</t>
        </is>
      </c>
    </row>
    <row r="253">
      <c r="A253" s="32" t="inlineStr">
        <is>
          <t>F251</t>
        </is>
      </c>
      <c r="B253" s="32" t="inlineStr">
        <is>
          <t>Not started</t>
        </is>
      </c>
      <c r="C253" s="32" t="inlineStr">
        <is>
          <t>Session 1</t>
        </is>
      </c>
      <c r="D253" s="32" t="inlineStr">
        <is>
          <t>Income</t>
        </is>
      </c>
      <c r="E253" s="32" t="inlineStr">
        <is>
          <t>Variable income</t>
        </is>
      </c>
      <c r="F253" s="32" t="inlineStr">
        <is>
          <t>Last 12 months, typical month, lowest month</t>
        </is>
      </c>
      <c r="G253" s="32" t="inlineStr">
        <is>
          <t>Primary</t>
        </is>
      </c>
      <c r="H253" s="32" t="inlineStr">
        <is>
          <t>Three amounts</t>
        </is>
      </c>
      <c r="I253" s="32" t="inlineStr">
        <is>
          <t>Self-employed, tips, creators. Lowest month drives the safe budget</t>
        </is>
      </c>
      <c r="J253" s="32" t="n"/>
      <c r="K253" s="32" t="inlineStr">
        <is>
          <t>Client</t>
        </is>
      </c>
      <c r="L253" s="32" t="n"/>
      <c r="M253" s="32" t="inlineStr">
        <is>
          <t>All</t>
        </is>
      </c>
      <c r="N253" s="32" t="inlineStr">
        <is>
          <t>High</t>
        </is>
      </c>
      <c r="O253" s="32" t="n"/>
      <c r="P253" s="32" t="inlineStr">
        <is>
          <t>Now</t>
        </is>
      </c>
      <c r="Q253" s="32" t="n"/>
      <c r="S253" s="10" t="inlineStr">
        <is>
          <t>My Money › Income</t>
        </is>
      </c>
      <c r="T253" s="10" t="inlineStr">
        <is>
          <t>money</t>
        </is>
      </c>
      <c r="U253" s="10" t="inlineStr"/>
      <c r="V253" s="33" t="inlineStr">
        <is>
          <t>5</t>
        </is>
      </c>
    </row>
    <row r="254">
      <c r="A254" s="32" t="inlineStr">
        <is>
          <t>F252</t>
        </is>
      </c>
      <c r="B254" s="32" t="inlineStr">
        <is>
          <t>Not started</t>
        </is>
      </c>
      <c r="C254" s="32" t="inlineStr">
        <is>
          <t>Session 1</t>
        </is>
      </c>
      <c r="D254" s="32" t="inlineStr">
        <is>
          <t>Income</t>
        </is>
      </c>
      <c r="E254" s="32" t="inlineStr">
        <is>
          <t>Variable income</t>
        </is>
      </c>
      <c r="F254" s="32" t="inlineStr">
        <is>
          <t>Set aside for taxes %</t>
        </is>
      </c>
      <c r="G254" s="32" t="inlineStr">
        <is>
          <t>Primary</t>
        </is>
      </c>
      <c r="H254" s="32" t="inlineStr">
        <is>
          <t>Percent</t>
        </is>
      </c>
      <c r="I254" s="32" t="inlineStr">
        <is>
          <t>Self-employed only</t>
        </is>
      </c>
      <c r="J254" s="32" t="n"/>
      <c r="K254" s="32" t="inlineStr">
        <is>
          <t>Client</t>
        </is>
      </c>
      <c r="L254" s="32" t="n"/>
      <c r="M254" s="32" t="inlineStr">
        <is>
          <t>All</t>
        </is>
      </c>
      <c r="N254" s="32" t="inlineStr">
        <is>
          <t>High</t>
        </is>
      </c>
      <c r="O254" s="32" t="n"/>
      <c r="P254" s="32" t="inlineStr">
        <is>
          <t>Now</t>
        </is>
      </c>
      <c r="Q254" s="32" t="n"/>
      <c r="S254" s="10" t="inlineStr">
        <is>
          <t>My Money › Income</t>
        </is>
      </c>
      <c r="T254" s="10" t="inlineStr">
        <is>
          <t>percent</t>
        </is>
      </c>
      <c r="U254" s="10" t="inlineStr"/>
      <c r="V254" s="33" t="inlineStr">
        <is>
          <t>5</t>
        </is>
      </c>
    </row>
    <row r="255">
      <c r="A255" s="32" t="inlineStr">
        <is>
          <t>F253</t>
        </is>
      </c>
      <c r="B255" s="32" t="inlineStr">
        <is>
          <t>Not started</t>
        </is>
      </c>
      <c r="C255" s="32" t="inlineStr">
        <is>
          <t>Session 2+</t>
        </is>
      </c>
      <c r="D255" s="32" t="inlineStr">
        <is>
          <t>Income</t>
        </is>
      </c>
      <c r="E255" s="32" t="inlineStr">
        <is>
          <t>Variable income</t>
        </is>
      </c>
      <c r="F255" s="32" t="inlineStr">
        <is>
          <t>Month by month (12 boxes)</t>
        </is>
      </c>
      <c r="G255" s="32" t="inlineStr">
        <is>
          <t>Secondary</t>
        </is>
      </c>
      <c r="H255" s="32" t="inlineStr">
        <is>
          <t>Twelve amounts</t>
        </is>
      </c>
      <c r="I255" s="32" t="inlineStr">
        <is>
          <t>Builds the income chart</t>
        </is>
      </c>
      <c r="J255" s="32" t="n"/>
      <c r="K255" s="32" t="inlineStr">
        <is>
          <t>Client</t>
        </is>
      </c>
      <c r="L255" s="32" t="inlineStr">
        <is>
          <t>Often</t>
        </is>
      </c>
      <c r="M255" s="32" t="inlineStr">
        <is>
          <t>All</t>
        </is>
      </c>
      <c r="N255" s="32" t="inlineStr">
        <is>
          <t>Medium</t>
        </is>
      </c>
      <c r="O255" s="32" t="n"/>
      <c r="P255" s="32" t="inlineStr">
        <is>
          <t>Now</t>
        </is>
      </c>
      <c r="Q255" s="32" t="n"/>
      <c r="S255" s="10" t="inlineStr">
        <is>
          <t>My Money › Income</t>
        </is>
      </c>
      <c r="T255" s="10" t="inlineStr">
        <is>
          <t>money</t>
        </is>
      </c>
      <c r="U255" s="10" t="inlineStr"/>
      <c r="V255" s="33" t="inlineStr">
        <is>
          <t>5</t>
        </is>
      </c>
    </row>
    <row r="256">
      <c r="A256" s="32" t="inlineStr">
        <is>
          <t>F254</t>
        </is>
      </c>
      <c r="B256" s="32" t="inlineStr">
        <is>
          <t>Not started</t>
        </is>
      </c>
      <c r="C256" s="32" t="inlineStr">
        <is>
          <t>Session 1</t>
        </is>
      </c>
      <c r="D256" s="32" t="inlineStr">
        <is>
          <t>Income</t>
        </is>
      </c>
      <c r="E256" s="32" t="inlineStr">
        <is>
          <t>Other benefits</t>
        </is>
      </c>
      <c r="F256" s="32" t="inlineStr">
        <is>
          <t>Benefit name, what it is, how it works, value, using it?</t>
        </is>
      </c>
      <c r="G256" s="32" t="inlineStr">
        <is>
          <t>Secondary</t>
        </is>
      </c>
      <c r="H256" s="32" t="inlineStr">
        <is>
          <t>Row with five cells</t>
        </is>
      </c>
      <c r="I256" s="32" t="inlineStr">
        <is>
          <t>Commuter, tuition, student loan help, wellness, phone, childcare FSA, meals, home office, ESPP, sabbatical, legal plan, pet insurance</t>
        </is>
      </c>
      <c r="J256" s="32" t="n"/>
      <c r="K256" s="32" t="inlineStr">
        <is>
          <t>Client</t>
        </is>
      </c>
      <c r="L256" s="32" t="inlineStr">
        <is>
          <t>Often</t>
        </is>
      </c>
      <c r="M256" s="32" t="inlineStr">
        <is>
          <t>All</t>
        </is>
      </c>
      <c r="N256" s="32" t="inlineStr">
        <is>
          <t>Medium</t>
        </is>
      </c>
      <c r="O256" s="32" t="n"/>
      <c r="P256" s="32" t="inlineStr">
        <is>
          <t>Now</t>
        </is>
      </c>
      <c r="Q256" s="32" t="inlineStr">
        <is>
          <t>Your comment: name it, explain it, give nontraditional examples</t>
        </is>
      </c>
      <c r="S256" s="10" t="inlineStr">
        <is>
          <t>My Money › Income</t>
        </is>
      </c>
      <c r="T256" s="10" t="inlineStr">
        <is>
          <t>text</t>
        </is>
      </c>
      <c r="U256" s="10" t="inlineStr"/>
      <c r="V256" s="33" t="inlineStr">
        <is>
          <t>5</t>
        </is>
      </c>
    </row>
    <row r="257">
      <c r="A257" s="32" t="inlineStr">
        <is>
          <t>F255</t>
        </is>
      </c>
      <c r="B257" s="32" t="inlineStr">
        <is>
          <t>Not started</t>
        </is>
      </c>
      <c r="C257" s="32" t="inlineStr">
        <is>
          <t>Session 2+</t>
        </is>
      </c>
      <c r="D257" s="32" t="inlineStr">
        <is>
          <t>Income</t>
        </is>
      </c>
      <c r="E257" s="32" t="inlineStr">
        <is>
          <t>Equity pay</t>
        </is>
      </c>
      <c r="F257" s="32" t="inlineStr">
        <is>
          <t>ESPP %, discount; RSU grants and vest dates</t>
        </is>
      </c>
      <c r="G257" s="32" t="inlineStr">
        <is>
          <t>Tertiary</t>
        </is>
      </c>
      <c r="H257" s="32" t="inlineStr">
        <is>
          <t>Fields</t>
        </is>
      </c>
      <c r="I257" s="32" t="inlineStr">
        <is>
          <t>Only if offered</t>
        </is>
      </c>
      <c r="J257" s="32" t="n"/>
      <c r="K257" s="32" t="inlineStr">
        <is>
          <t>Client</t>
        </is>
      </c>
      <c r="L257" s="32" t="inlineStr">
        <is>
          <t>Often</t>
        </is>
      </c>
      <c r="M257" s="32" t="inlineStr">
        <is>
          <t>All</t>
        </is>
      </c>
      <c r="N257" s="32" t="inlineStr">
        <is>
          <t>Medium</t>
        </is>
      </c>
      <c r="O257" s="32" t="n"/>
      <c r="P257" s="32" t="inlineStr">
        <is>
          <t>Now</t>
        </is>
      </c>
      <c r="Q257" s="32" t="n"/>
      <c r="S257" s="10" t="inlineStr">
        <is>
          <t>My Money › Income</t>
        </is>
      </c>
      <c r="T257" s="10" t="inlineStr">
        <is>
          <t>text</t>
        </is>
      </c>
      <c r="U257" s="10" t="inlineStr"/>
      <c r="V257" s="33" t="inlineStr">
        <is>
          <t>5</t>
        </is>
      </c>
    </row>
    <row r="258">
      <c r="A258" s="32" t="inlineStr">
        <is>
          <t>F256</t>
        </is>
      </c>
      <c r="B258" s="32" t="inlineStr">
        <is>
          <t>Not started</t>
        </is>
      </c>
      <c r="C258" s="32" t="inlineStr">
        <is>
          <t>Session 1</t>
        </is>
      </c>
      <c r="D258" s="32" t="inlineStr">
        <is>
          <t>Debt</t>
        </is>
      </c>
      <c r="E258" s="32" t="inlineStr">
        <is>
          <t>Credit</t>
        </is>
      </c>
      <c r="F258" s="32" t="inlineStr">
        <is>
          <t>Credit score, as-of date, source</t>
        </is>
      </c>
      <c r="G258" s="32" t="inlineStr">
        <is>
          <t>Secondary</t>
        </is>
      </c>
      <c r="H258" s="32" t="inlineStr">
        <is>
          <t>Number plus date</t>
        </is>
      </c>
      <c r="I258" s="32" t="inlineStr">
        <is>
          <t>Context for refinancing and cards</t>
        </is>
      </c>
      <c r="J258" s="32" t="n"/>
      <c r="K258" s="32" t="inlineStr">
        <is>
          <t>Client</t>
        </is>
      </c>
      <c r="L258" s="32" t="inlineStr">
        <is>
          <t>Sometimes</t>
        </is>
      </c>
      <c r="M258" s="32" t="inlineStr">
        <is>
          <t>All</t>
        </is>
      </c>
      <c r="N258" s="32" t="inlineStr">
        <is>
          <t>Medium</t>
        </is>
      </c>
      <c r="O258" s="32" t="n"/>
      <c r="P258" s="32" t="inlineStr">
        <is>
          <t>Now</t>
        </is>
      </c>
      <c r="Q258" s="32" t="n"/>
      <c r="S258" s="10" t="inlineStr">
        <is>
          <t>My Money › Debt</t>
        </is>
      </c>
      <c r="T258" s="10" t="inlineStr">
        <is>
          <t>whole number</t>
        </is>
      </c>
      <c r="U258" s="10" t="inlineStr"/>
      <c r="V258" s="33" t="inlineStr">
        <is>
          <t>5</t>
        </is>
      </c>
    </row>
    <row r="259">
      <c r="A259" s="32" t="inlineStr">
        <is>
          <t>F257</t>
        </is>
      </c>
      <c r="B259" s="32" t="inlineStr">
        <is>
          <t>Not started</t>
        </is>
      </c>
      <c r="C259" s="32" t="inlineStr">
        <is>
          <t>Session 1</t>
        </is>
      </c>
      <c r="D259" s="32" t="inlineStr">
        <is>
          <t>Debt</t>
        </is>
      </c>
      <c r="E259" s="32" t="inlineStr">
        <is>
          <t>Credit cards</t>
        </is>
      </c>
      <c r="F259" s="32" t="inlineStr">
        <is>
          <t>Payment choice: minimum, custom, in full</t>
        </is>
      </c>
      <c r="G259" s="32" t="inlineStr">
        <is>
          <t>Primary</t>
        </is>
      </c>
      <c r="H259" s="32" t="inlineStr">
        <is>
          <t>Toggle plus Pay in full button</t>
        </is>
      </c>
      <c r="I259" s="32" t="inlineStr">
        <is>
          <t>Your comment: minimum payment computed in Primary, options below</t>
        </is>
      </c>
      <c r="J259" s="32" t="n"/>
      <c r="K259" s="32" t="inlineStr">
        <is>
          <t>Client</t>
        </is>
      </c>
      <c r="L259" s="32" t="n"/>
      <c r="M259" s="32" t="inlineStr">
        <is>
          <t>All</t>
        </is>
      </c>
      <c r="N259" s="32" t="inlineStr">
        <is>
          <t>High</t>
        </is>
      </c>
      <c r="O259" s="32" t="n"/>
      <c r="P259" s="32" t="inlineStr">
        <is>
          <t>Now</t>
        </is>
      </c>
      <c r="Q259" s="32" t="n"/>
      <c r="S259" s="10" t="inlineStr">
        <is>
          <t>My Money › Debt</t>
        </is>
      </c>
      <c r="T259" s="10" t="inlineStr">
        <is>
          <t>choice</t>
        </is>
      </c>
      <c r="U259" s="10" t="inlineStr"/>
      <c r="V259" s="33" t="inlineStr">
        <is>
          <t>5</t>
        </is>
      </c>
    </row>
    <row r="260">
      <c r="A260" s="32" t="inlineStr">
        <is>
          <t>F258</t>
        </is>
      </c>
      <c r="B260" s="32" t="inlineStr">
        <is>
          <t>Not started</t>
        </is>
      </c>
      <c r="C260" s="32" t="inlineStr">
        <is>
          <t>Session 1</t>
        </is>
      </c>
      <c r="D260" s="32" t="inlineStr">
        <is>
          <t>Protection</t>
        </is>
      </c>
      <c r="E260" s="32" t="inlineStr">
        <is>
          <t>Coverage</t>
        </is>
      </c>
      <c r="F260" s="32" t="inlineStr">
        <is>
          <t>Type, have it or not, premium</t>
        </is>
      </c>
      <c r="G260" s="32" t="inlineStr">
        <is>
          <t>Primary</t>
        </is>
      </c>
      <c r="H260" s="32" t="inlineStr">
        <is>
          <t>Dropdown, toggle, amount</t>
        </is>
      </c>
      <c r="I260" s="32" t="inlineStr">
        <is>
          <t>Health, life, disability, renters or home, car, umbrella</t>
        </is>
      </c>
      <c r="J260" s="32" t="n"/>
      <c r="K260" s="32" t="inlineStr">
        <is>
          <t>Client</t>
        </is>
      </c>
      <c r="L260" s="32" t="n"/>
      <c r="M260" s="32" t="inlineStr">
        <is>
          <t>All</t>
        </is>
      </c>
      <c r="N260" s="32" t="inlineStr">
        <is>
          <t>Medium</t>
        </is>
      </c>
      <c r="O260" s="32" t="n"/>
      <c r="P260" s="32" t="inlineStr">
        <is>
          <t>Now</t>
        </is>
      </c>
      <c r="Q260" s="32" t="n"/>
      <c r="S260" s="10" t="inlineStr">
        <is>
          <t>My Money › Protection</t>
        </is>
      </c>
      <c r="T260" s="10" t="inlineStr">
        <is>
          <t>money</t>
        </is>
      </c>
      <c r="U260" s="10" t="inlineStr"/>
      <c r="V260" s="33" t="inlineStr">
        <is>
          <t>5</t>
        </is>
      </c>
    </row>
    <row r="261">
      <c r="A261" s="32" t="inlineStr">
        <is>
          <t>F259</t>
        </is>
      </c>
      <c r="B261" s="32" t="inlineStr">
        <is>
          <t>Not started</t>
        </is>
      </c>
      <c r="C261" s="32" t="inlineStr">
        <is>
          <t>Session 2+</t>
        </is>
      </c>
      <c r="D261" s="32" t="inlineStr">
        <is>
          <t>Protection</t>
        </is>
      </c>
      <c r="E261" s="32" t="inlineStr">
        <is>
          <t>Coverage</t>
        </is>
      </c>
      <c r="F261" s="32" t="inlineStr">
        <is>
          <t>Coverage amount, through employer, deductible / out-of-pocket max</t>
        </is>
      </c>
      <c r="G261" s="32" t="inlineStr">
        <is>
          <t>Secondary</t>
        </is>
      </c>
      <c r="H261" s="32" t="inlineStr">
        <is>
          <t>Fields</t>
        </is>
      </c>
      <c r="I261" s="32" t="inlineStr">
        <is>
          <t>Gaps show as to-dos</t>
        </is>
      </c>
      <c r="J261" s="32" t="n"/>
      <c r="K261" s="32" t="inlineStr">
        <is>
          <t>Client</t>
        </is>
      </c>
      <c r="L261" s="32" t="inlineStr">
        <is>
          <t>Often</t>
        </is>
      </c>
      <c r="M261" s="32" t="inlineStr">
        <is>
          <t>All</t>
        </is>
      </c>
      <c r="N261" s="32" t="inlineStr">
        <is>
          <t>Medium</t>
        </is>
      </c>
      <c r="O261" s="32" t="n"/>
      <c r="P261" s="32" t="inlineStr">
        <is>
          <t>Now</t>
        </is>
      </c>
      <c r="Q261" s="32" t="n"/>
      <c r="S261" s="10" t="inlineStr">
        <is>
          <t>My Money › Protection</t>
        </is>
      </c>
      <c r="T261" s="10" t="inlineStr">
        <is>
          <t>text</t>
        </is>
      </c>
      <c r="U261" s="10" t="inlineStr"/>
      <c r="V261" s="33" t="inlineStr">
        <is>
          <t>5</t>
        </is>
      </c>
    </row>
    <row r="262">
      <c r="A262" s="32" t="inlineStr">
        <is>
          <t>F260</t>
        </is>
      </c>
      <c r="B262" s="32" t="inlineStr">
        <is>
          <t>Not started</t>
        </is>
      </c>
      <c r="C262" s="32" t="inlineStr">
        <is>
          <t>Session 1</t>
        </is>
      </c>
      <c r="D262" s="32" t="inlineStr">
        <is>
          <t>Needs</t>
        </is>
      </c>
      <c r="E262" s="32" t="inlineStr">
        <is>
          <t>Irregular costs</t>
        </is>
      </c>
      <c r="F262" s="32" t="inlineStr">
        <is>
          <t>Yearly cost and month due (walk-the-list prompt)</t>
        </is>
      </c>
      <c r="G262" s="32" t="inlineStr">
        <is>
          <t>Primary</t>
        </is>
      </c>
      <c r="H262" s="32" t="inlineStr">
        <is>
          <t>Amount plus month</t>
        </is>
      </c>
      <c r="I262" s="32" t="inlineStr">
        <is>
          <t>Registration, holidays, birthdays, renewals, vet, travel, annual subscriptions, tax prep</t>
        </is>
      </c>
      <c r="J262" s="32" t="n"/>
      <c r="K262" s="32" t="inlineStr">
        <is>
          <t>Client</t>
        </is>
      </c>
      <c r="L262" s="32" t="n"/>
      <c r="M262" s="32" t="inlineStr">
        <is>
          <t>All</t>
        </is>
      </c>
      <c r="N262" s="32" t="inlineStr">
        <is>
          <t>High</t>
        </is>
      </c>
      <c r="O262" s="32" t="n"/>
      <c r="P262" s="32" t="inlineStr">
        <is>
          <t>Now</t>
        </is>
      </c>
      <c r="Q262" s="32" t="n"/>
      <c r="S262" s="10" t="inlineStr">
        <is>
          <t>Spending › Budget</t>
        </is>
      </c>
      <c r="T262" s="10" t="inlineStr">
        <is>
          <t>money</t>
        </is>
      </c>
      <c r="U262" s="10" t="inlineStr"/>
      <c r="V262" s="33" t="inlineStr">
        <is>
          <t>6</t>
        </is>
      </c>
    </row>
    <row r="263">
      <c r="A263" s="32" t="inlineStr">
        <is>
          <t>F261</t>
        </is>
      </c>
      <c r="B263" s="32" t="inlineStr">
        <is>
          <t>Not started</t>
        </is>
      </c>
      <c r="C263" s="32" t="inlineStr">
        <is>
          <t>Session 1</t>
        </is>
      </c>
      <c r="D263" s="32" t="inlineStr">
        <is>
          <t>Goals</t>
        </is>
      </c>
      <c r="E263" s="32" t="inlineStr">
        <is>
          <t>Next 12 months</t>
        </is>
      </c>
      <c r="F263" s="32" t="inlineStr">
        <is>
          <t>Upcoming event, rough cost, month</t>
        </is>
      </c>
      <c r="G263" s="32" t="inlineStr">
        <is>
          <t>Secondary</t>
        </is>
      </c>
      <c r="H263" s="32" t="inlineStr">
        <is>
          <t>Row</t>
        </is>
      </c>
      <c r="I263" s="32" t="inlineStr">
        <is>
          <t>Wedding, move, trip, big purchase</t>
        </is>
      </c>
      <c r="J263" s="32" t="n"/>
      <c r="K263" s="32" t="inlineStr">
        <is>
          <t>Client</t>
        </is>
      </c>
      <c r="L263" s="32" t="n"/>
      <c r="M263" s="32" t="inlineStr">
        <is>
          <t>All</t>
        </is>
      </c>
      <c r="N263" s="32" t="inlineStr">
        <is>
          <t>Medium</t>
        </is>
      </c>
      <c r="O263" s="32" t="n"/>
      <c r="P263" s="32" t="inlineStr">
        <is>
          <t>Now</t>
        </is>
      </c>
      <c r="Q263" s="32" t="n"/>
      <c r="S263" s="10" t="inlineStr">
        <is>
          <t>Plan › Next 12 months</t>
        </is>
      </c>
      <c r="T263" s="10" t="inlineStr">
        <is>
          <t>text</t>
        </is>
      </c>
      <c r="U263" s="10" t="inlineStr"/>
      <c r="V263" s="33" t="inlineStr">
        <is>
          <t>7</t>
        </is>
      </c>
    </row>
    <row r="264">
      <c r="A264" s="32" t="inlineStr">
        <is>
          <t>F262</t>
        </is>
      </c>
      <c r="B264" s="32" t="inlineStr">
        <is>
          <t>Not started</t>
        </is>
      </c>
      <c r="C264" s="32" t="inlineStr">
        <is>
          <t>Monthly</t>
        </is>
      </c>
      <c r="D264" s="32" t="inlineStr">
        <is>
          <t>Needs</t>
        </is>
      </c>
      <c r="E264" s="32" t="inlineStr">
        <is>
          <t>Calendar</t>
        </is>
      </c>
      <c r="F264" s="32" t="inlineStr">
        <is>
          <t>Maybe money (expected, not certain)</t>
        </is>
      </c>
      <c r="G264" s="32" t="inlineStr">
        <is>
          <t>Secondary</t>
        </is>
      </c>
      <c r="H264" s="32" t="inlineStr">
        <is>
          <t>In / Out / Maybe toggle</t>
        </is>
      </c>
      <c r="I264" s="32" t="inlineStr">
        <is>
          <t>Your comment: dashed chip, out of the balance unless counted</t>
        </is>
      </c>
      <c r="J264" s="32" t="n"/>
      <c r="K264" s="32" t="inlineStr">
        <is>
          <t>Client</t>
        </is>
      </c>
      <c r="L264" s="32" t="n"/>
      <c r="M264" s="32" t="inlineStr">
        <is>
          <t>All</t>
        </is>
      </c>
      <c r="N264" s="32" t="inlineStr">
        <is>
          <t>Medium</t>
        </is>
      </c>
      <c r="O264" s="32" t="n"/>
      <c r="P264" s="32" t="inlineStr">
        <is>
          <t>Now</t>
        </is>
      </c>
      <c r="Q264" s="32" t="n"/>
      <c r="S264" s="10" t="inlineStr">
        <is>
          <t>Spending › Cash flow calendar</t>
        </is>
      </c>
      <c r="T264" s="10" t="inlineStr">
        <is>
          <t>choice</t>
        </is>
      </c>
      <c r="U264" s="10" t="inlineStr"/>
      <c r="V264" s="33" t="inlineStr">
        <is>
          <t>6</t>
        </is>
      </c>
    </row>
    <row r="265">
      <c r="A265" s="32" t="inlineStr">
        <is>
          <t>F263</t>
        </is>
      </c>
      <c r="B265" s="32" t="inlineStr">
        <is>
          <t>Not started</t>
        </is>
      </c>
      <c r="C265" s="32" t="inlineStr">
        <is>
          <t>Monthly</t>
        </is>
      </c>
      <c r="D265" s="32" t="inlineStr">
        <is>
          <t>Needs</t>
        </is>
      </c>
      <c r="E265" s="32" t="inlineStr">
        <is>
          <t>Calendar</t>
        </is>
      </c>
      <c r="F265" s="32" t="inlineStr">
        <is>
          <t>Wins on a date</t>
        </is>
      </c>
      <c r="G265" s="32" t="inlineStr">
        <is>
          <t>Tertiary</t>
        </is>
      </c>
      <c r="H265" s="32" t="inlineStr">
        <is>
          <t>Name plus date</t>
        </is>
      </c>
      <c r="I265" s="32" t="inlineStr">
        <is>
          <t>Your comment: dates for good things like milestones</t>
        </is>
      </c>
      <c r="J265" s="32" t="n"/>
      <c r="K265" s="32" t="inlineStr">
        <is>
          <t>Client</t>
        </is>
      </c>
      <c r="L265" s="32" t="n"/>
      <c r="M265" s="32" t="inlineStr">
        <is>
          <t>All</t>
        </is>
      </c>
      <c r="N265" s="32" t="inlineStr">
        <is>
          <t>Low</t>
        </is>
      </c>
      <c r="O265" s="32" t="n"/>
      <c r="P265" s="32" t="inlineStr">
        <is>
          <t>Now</t>
        </is>
      </c>
      <c r="Q265" s="32" t="n"/>
      <c r="S265" s="10" t="inlineStr">
        <is>
          <t>Spending › Cash flow calendar</t>
        </is>
      </c>
      <c r="T265" s="10" t="inlineStr">
        <is>
          <t>date</t>
        </is>
      </c>
      <c r="U265" s="10" t="inlineStr"/>
      <c r="V265" s="33" t="inlineStr">
        <is>
          <t>6</t>
        </is>
      </c>
    </row>
    <row r="266">
      <c r="A266" s="32" t="inlineStr">
        <is>
          <t>F264</t>
        </is>
      </c>
      <c r="B266" s="32" t="inlineStr">
        <is>
          <t>Not started</t>
        </is>
      </c>
      <c r="C266" s="32" t="inlineStr">
        <is>
          <t>Session 1</t>
        </is>
      </c>
      <c r="D266" s="32" t="inlineStr">
        <is>
          <t>Coaching</t>
        </is>
      </c>
      <c r="E266" s="32" t="inlineStr">
        <is>
          <t>Notes</t>
        </is>
      </c>
      <c r="F266" s="32" t="inlineStr">
        <is>
          <t>Private notes and shared notes</t>
        </is>
      </c>
      <c r="G266" s="32" t="inlineStr">
        <is>
          <t>Secondary</t>
        </is>
      </c>
      <c r="H266" s="32" t="inlineStr">
        <is>
          <t>Two boxes</t>
        </is>
      </c>
      <c r="I266" s="32" t="inlineStr">
        <is>
          <t>Private stays with you</t>
        </is>
      </c>
      <c r="J266" s="32" t="n"/>
      <c r="K266" s="32" t="inlineStr">
        <is>
          <t>Coach</t>
        </is>
      </c>
      <c r="L266" s="32" t="n"/>
      <c r="M266" s="32" t="inlineStr">
        <is>
          <t>Know it</t>
        </is>
      </c>
      <c r="N266" s="32" t="inlineStr">
        <is>
          <t>Medium</t>
        </is>
      </c>
      <c r="O266" s="32" t="n"/>
      <c r="P266" s="32" t="inlineStr">
        <is>
          <t>Now</t>
        </is>
      </c>
      <c r="Q266" s="32" t="n"/>
      <c r="S266" s="10" t="inlineStr">
        <is>
          <t>Home / ⚙ Coach tools</t>
        </is>
      </c>
      <c r="T266" s="10" t="inlineStr">
        <is>
          <t>text</t>
        </is>
      </c>
      <c r="U266" s="10" t="inlineStr"/>
      <c r="V266" s="33" t="inlineStr">
        <is>
          <t>9-10</t>
        </is>
      </c>
    </row>
    <row r="267">
      <c r="A267" s="32" t="inlineStr">
        <is>
          <t>F265</t>
        </is>
      </c>
      <c r="B267" s="32" t="inlineStr">
        <is>
          <t>Not started</t>
        </is>
      </c>
      <c r="C267" s="32" t="inlineStr">
        <is>
          <t>Session 1</t>
        </is>
      </c>
      <c r="D267" s="32" t="inlineStr">
        <is>
          <t>Coaching</t>
        </is>
      </c>
      <c r="E267" s="32" t="inlineStr">
        <is>
          <t>Package</t>
        </is>
      </c>
      <c r="F267" s="32" t="inlineStr">
        <is>
          <t>Session number, next date, client status</t>
        </is>
      </c>
      <c r="G267" s="32" t="inlineStr">
        <is>
          <t>Secondary</t>
        </is>
      </c>
      <c r="H267" s="32" t="inlineStr">
        <is>
          <t>Fields</t>
        </is>
      </c>
      <c r="I267" s="32" t="inlineStr">
        <is>
          <t>Session 2 of 6; active, maintenance, paused</t>
        </is>
      </c>
      <c r="J267" s="32" t="n"/>
      <c r="K267" s="32" t="inlineStr">
        <is>
          <t>Coach</t>
        </is>
      </c>
      <c r="L267" s="32" t="n"/>
      <c r="M267" s="32" t="inlineStr">
        <is>
          <t>Know it</t>
        </is>
      </c>
      <c r="N267" s="32" t="inlineStr">
        <is>
          <t>Medium</t>
        </is>
      </c>
      <c r="O267" s="32" t="n"/>
      <c r="P267" s="32" t="inlineStr">
        <is>
          <t>Now</t>
        </is>
      </c>
      <c r="Q267" s="32" t="n"/>
      <c r="S267" s="10" t="inlineStr">
        <is>
          <t>Home / ⚙ Coach tools</t>
        </is>
      </c>
      <c r="T267" s="10" t="inlineStr">
        <is>
          <t>text</t>
        </is>
      </c>
      <c r="U267" s="10" t="inlineStr"/>
      <c r="V267" s="33" t="inlineStr">
        <is>
          <t>9-10</t>
        </is>
      </c>
    </row>
  </sheetData>
  <autoFilter ref="A2:V267"/>
  <mergeCells count="1">
    <mergeCell ref="A1:Q1"/>
  </mergeCells>
  <dataValidations count="6">
    <dataValidation sqref="B3:B2000" showDropDown="0" showInputMessage="0" showErrorMessage="0" allowBlank="1" type="list">
      <formula1>"Not started,Spec'd,Built,Tested"</formula1>
    </dataValidation>
    <dataValidation sqref="C3:C2000" showDropDown="0" showInputMessage="0" showErrorMessage="0" allowBlank="1" type="list">
      <formula1>"Pre-call,Discovery,Fast Track,Session 1,Session 2+,Monthly,Computed,Later,Parked"</formula1>
    </dataValidation>
    <dataValidation sqref="G3:G2000" showDropDown="0" showInputMessage="0" showErrorMessage="0" allowBlank="1" type="list">
      <formula1>"Primary,Secondary,Tertiary"</formula1>
    </dataValidation>
    <dataValidation sqref="K3:K2000" showDropDown="0" showInputMessage="0" showErrorMessage="0" allowBlank="1" type="list">
      <formula1>"Client,Coach infers,Coach guesstimate,Look up,Computed,Coach"</formula1>
    </dataValidation>
    <dataValidation sqref="N3:N2000" showDropDown="0" showInputMessage="0" showErrorMessage="0" allowBlank="1" type="list">
      <formula1>"High,Medium,Low"</formula1>
    </dataValidation>
    <dataValidation sqref="P3:P2000" showDropDown="0" showInputMessage="0" showErrorMessage="0" allowBlank="1" type="list">
      <formula1>"Now,Later,Parked"</formula1>
    </dataValidation>
  </dataValidation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I122"/>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12" customWidth="1" min="2" max="2"/>
    <col width="16" customWidth="1" min="3" max="3"/>
    <col width="32" customWidth="1" min="4" max="4"/>
    <col width="55" customWidth="1" min="5" max="5"/>
    <col width="10" customWidth="1" min="6" max="6"/>
    <col width="8" customWidth="1" min="7" max="7"/>
    <col width="22" customWidth="1" min="8" max="8"/>
    <col width="40" customWidth="1" min="9" max="9"/>
  </cols>
  <sheetData>
    <row r="1" ht="28" customHeight="1">
      <c r="A1" s="1" t="inlineStr">
        <is>
          <t>SLAM features: what each one does and what it reads</t>
        </is>
      </c>
    </row>
    <row r="2">
      <c r="A2" s="3" t="inlineStr">
        <is>
          <t>ID</t>
        </is>
      </c>
      <c r="B2" s="3" t="inlineStr">
        <is>
          <t>Build status</t>
        </is>
      </c>
      <c r="C2" s="3" t="inlineStr">
        <is>
          <t>Category</t>
        </is>
      </c>
      <c r="D2" s="3" t="inlineStr">
        <is>
          <t>Feature</t>
        </is>
      </c>
      <c r="E2" s="3" t="inlineStr">
        <is>
          <t>What it does</t>
        </is>
      </c>
      <c r="F2" s="3" t="inlineStr">
        <is>
          <t>Layer</t>
        </is>
      </c>
      <c r="G2" s="3" t="inlineStr">
        <is>
          <t>Scope</t>
        </is>
      </c>
      <c r="H2" s="3" t="inlineStr">
        <is>
          <t>Reads fields from</t>
        </is>
      </c>
      <c r="I2" s="3" t="inlineStr">
        <is>
          <t>Notes / references</t>
        </is>
      </c>
    </row>
    <row r="3">
      <c r="A3" s="32" t="inlineStr">
        <is>
          <t>X001</t>
        </is>
      </c>
      <c r="B3" s="32" t="inlineStr">
        <is>
          <t>Not started</t>
        </is>
      </c>
      <c r="C3" s="32" t="inlineStr">
        <is>
          <t>Entry</t>
        </is>
      </c>
      <c r="D3" s="32" t="inlineStr">
        <is>
          <t>Gate checklist</t>
        </is>
      </c>
      <c r="E3" s="32" t="inlineStr">
        <is>
          <t>Which of these do you have today. Unchecked areas never appear</t>
        </is>
      </c>
      <c r="F3" s="32" t="inlineStr">
        <is>
          <t>Primary</t>
        </is>
      </c>
      <c r="G3" s="32" t="inlineStr">
        <is>
          <t>Now</t>
        </is>
      </c>
      <c r="H3" s="32" t="inlineStr">
        <is>
          <t>Profile</t>
        </is>
      </c>
      <c r="I3" s="32" t="inlineStr">
        <is>
          <t>ProjectionLab</t>
        </is>
      </c>
    </row>
    <row r="4">
      <c r="A4" s="32" t="inlineStr">
        <is>
          <t>X002</t>
        </is>
      </c>
      <c r="B4" s="32" t="inlineStr">
        <is>
          <t>Not started</t>
        </is>
      </c>
      <c r="C4" s="32" t="inlineStr">
        <is>
          <t>Entry</t>
        </is>
      </c>
      <c r="D4" s="32" t="inlineStr">
        <is>
          <t>Count first, then rows</t>
        </is>
      </c>
      <c r="E4" s="32" t="inlineStr">
        <is>
          <t>How many of each type, then one row each, add or duplicate</t>
        </is>
      </c>
      <c r="F4" s="32" t="inlineStr">
        <is>
          <t>Primary</t>
        </is>
      </c>
      <c r="G4" s="32" t="inlineStr">
        <is>
          <t>Now</t>
        </is>
      </c>
      <c r="H4" s="32" t="inlineStr">
        <is>
          <t>Debt, Assets</t>
        </is>
      </c>
      <c r="I4" s="32" t="inlineStr">
        <is>
          <t>Oct 28 decision</t>
        </is>
      </c>
    </row>
    <row r="5">
      <c r="A5" s="32" t="inlineStr">
        <is>
          <t>X003</t>
        </is>
      </c>
      <c r="B5" s="32" t="inlineStr">
        <is>
          <t>Not started</t>
        </is>
      </c>
      <c r="C5" s="32" t="inlineStr">
        <is>
          <t>Entry</t>
        </is>
      </c>
      <c r="D5" s="32" t="inlineStr">
        <is>
          <t>Add picker with search</t>
        </is>
      </c>
      <c r="E5" s="32" t="inlineStr">
        <is>
          <t>Grouped types with counts plus a search bar</t>
        </is>
      </c>
      <c r="F5" s="32" t="inlineStr">
        <is>
          <t>Primary</t>
        </is>
      </c>
      <c r="G5" s="32" t="inlineStr">
        <is>
          <t>Now</t>
        </is>
      </c>
      <c r="H5" s="32" t="inlineStr">
        <is>
          <t>All multi-item areas</t>
        </is>
      </c>
      <c r="I5" s="32" t="inlineStr">
        <is>
          <t>ProjectionLab</t>
        </is>
      </c>
    </row>
    <row r="6">
      <c r="A6" s="32" t="inlineStr">
        <is>
          <t>X004</t>
        </is>
      </c>
      <c r="B6" s="32" t="inlineStr">
        <is>
          <t>Not started</t>
        </is>
      </c>
      <c r="C6" s="32" t="inlineStr">
        <is>
          <t>Entry</t>
        </is>
      </c>
      <c r="D6" s="32" t="inlineStr">
        <is>
          <t>Carets for depth</t>
        </is>
      </c>
      <c r="E6" s="32" t="inlineStr">
        <is>
          <t>Primary fields show, Secondary and Tertiary behind a caret</t>
        </is>
      </c>
      <c r="F6" s="32" t="inlineStr">
        <is>
          <t>Primary</t>
        </is>
      </c>
      <c r="G6" s="32" t="inlineStr">
        <is>
          <t>Now</t>
        </is>
      </c>
      <c r="H6" s="32" t="inlineStr">
        <is>
          <t>All</t>
        </is>
      </c>
      <c r="I6" s="32" t="inlineStr">
        <is>
          <t>Your sheet row 8</t>
        </is>
      </c>
    </row>
    <row r="7">
      <c r="A7" s="32" t="inlineStr">
        <is>
          <t>X005</t>
        </is>
      </c>
      <c r="B7" s="32" t="inlineStr">
        <is>
          <t>Not started</t>
        </is>
      </c>
      <c r="C7" s="32" t="inlineStr">
        <is>
          <t>Entry</t>
        </is>
      </c>
      <c r="D7" s="32" t="inlineStr">
        <is>
          <t>Type-a-little-and-pick</t>
        </is>
      </c>
      <c r="E7" s="32" t="inlineStr">
        <is>
          <t>Flight-search style on every field</t>
        </is>
      </c>
      <c r="F7" s="32" t="inlineStr">
        <is>
          <t>Primary</t>
        </is>
      </c>
      <c r="G7" s="32" t="inlineStr">
        <is>
          <t>Now</t>
        </is>
      </c>
      <c r="H7" s="32" t="inlineStr">
        <is>
          <t>All</t>
        </is>
      </c>
      <c r="I7" s="32" t="n"/>
    </row>
    <row r="8">
      <c r="A8" s="32" t="inlineStr">
        <is>
          <t>X006</t>
        </is>
      </c>
      <c r="B8" s="32" t="inlineStr">
        <is>
          <t>Not started</t>
        </is>
      </c>
      <c r="C8" s="32" t="inlineStr">
        <is>
          <t>Entry</t>
        </is>
      </c>
      <c r="D8" s="32" t="inlineStr">
        <is>
          <t>'Per' picker</t>
        </is>
      </c>
      <c r="E8" s="32" t="inlineStr">
        <is>
          <t>Enter any amount per paycheck, month or year</t>
        </is>
      </c>
      <c r="F8" s="32" t="inlineStr">
        <is>
          <t>Primary</t>
        </is>
      </c>
      <c r="G8" s="32" t="inlineStr">
        <is>
          <t>Now</t>
        </is>
      </c>
      <c r="H8" s="32" t="inlineStr">
        <is>
          <t>Income, Needs</t>
        </is>
      </c>
      <c r="I8" s="32" t="n"/>
    </row>
    <row r="9">
      <c r="A9" s="32" t="inlineStr">
        <is>
          <t>X007</t>
        </is>
      </c>
      <c r="B9" s="32" t="inlineStr">
        <is>
          <t>Not started</t>
        </is>
      </c>
      <c r="C9" s="32" t="inlineStr">
        <is>
          <t>Entry</t>
        </is>
      </c>
      <c r="D9" s="32" t="inlineStr">
        <is>
          <t>Solve the other</t>
        </is>
      </c>
      <c r="E9" s="32" t="inlineStr">
        <is>
          <t>Enter gross, take-home or both; app solves the rest and marks it Computed</t>
        </is>
      </c>
      <c r="F9" s="32" t="inlineStr">
        <is>
          <t>Primary</t>
        </is>
      </c>
      <c r="G9" s="32" t="inlineStr">
        <is>
          <t>Now</t>
        </is>
      </c>
      <c r="H9" s="32" t="inlineStr">
        <is>
          <t>Income</t>
        </is>
      </c>
      <c r="I9" s="32" t="n"/>
    </row>
    <row r="10">
      <c r="A10" s="32" t="inlineStr">
        <is>
          <t>X008</t>
        </is>
      </c>
      <c r="B10" s="32" t="inlineStr">
        <is>
          <t>Not started</t>
        </is>
      </c>
      <c r="C10" s="32" t="inlineStr">
        <is>
          <t>Entry</t>
        </is>
      </c>
      <c r="D10" s="32" t="inlineStr">
        <is>
          <t>'I'm not / I don't' on every question</t>
        </is>
      </c>
      <c r="E10" s="32" t="inlineStr">
        <is>
          <t>Built-in none answer so a section can be complete with nothing in it</t>
        </is>
      </c>
      <c r="F10" s="32" t="inlineStr">
        <is>
          <t>Primary</t>
        </is>
      </c>
      <c r="G10" s="32" t="inlineStr">
        <is>
          <t>Now</t>
        </is>
      </c>
      <c r="H10" s="32" t="inlineStr">
        <is>
          <t>All</t>
        </is>
      </c>
      <c r="I10" s="32" t="n"/>
    </row>
    <row r="11">
      <c r="A11" s="32" t="inlineStr">
        <is>
          <t>X009</t>
        </is>
      </c>
      <c r="B11" s="32" t="inlineStr">
        <is>
          <t>Not started</t>
        </is>
      </c>
      <c r="C11" s="32" t="inlineStr">
        <is>
          <t>Entry</t>
        </is>
      </c>
      <c r="D11" s="32" t="inlineStr">
        <is>
          <t>Blank defaults</t>
        </is>
      </c>
      <c r="E11" s="32" t="inlineStr">
        <is>
          <t>New rows start blank, not 0% and $0</t>
        </is>
      </c>
      <c r="F11" s="32" t="inlineStr">
        <is>
          <t>Primary</t>
        </is>
      </c>
      <c r="G11" s="32" t="inlineStr">
        <is>
          <t>Now</t>
        </is>
      </c>
      <c r="H11" s="32" t="inlineStr">
        <is>
          <t>All</t>
        </is>
      </c>
      <c r="I11" s="32" t="inlineStr">
        <is>
          <t>ProjectionLab shows 0 years to pay off before anything is entered</t>
        </is>
      </c>
    </row>
    <row r="12">
      <c r="A12" s="32" t="inlineStr">
        <is>
          <t>X010</t>
        </is>
      </c>
      <c r="B12" s="32" t="inlineStr">
        <is>
          <t>Not started</t>
        </is>
      </c>
      <c r="C12" s="32" t="inlineStr">
        <is>
          <t>Entry</t>
        </is>
      </c>
      <c r="D12" s="32" t="inlineStr">
        <is>
          <t>Owner on every row</t>
        </is>
      </c>
      <c r="E12" s="32" t="inlineStr">
        <is>
          <t>Solo, partner or joint</t>
        </is>
      </c>
      <c r="F12" s="32" t="inlineStr">
        <is>
          <t>Primary</t>
        </is>
      </c>
      <c r="G12" s="32" t="inlineStr">
        <is>
          <t>Now</t>
        </is>
      </c>
      <c r="H12" s="32" t="inlineStr">
        <is>
          <t>All</t>
        </is>
      </c>
      <c r="I12" s="32" t="inlineStr">
        <is>
          <t>Couples support</t>
        </is>
      </c>
    </row>
    <row r="13">
      <c r="A13" s="32" t="inlineStr">
        <is>
          <t>X011</t>
        </is>
      </c>
      <c r="B13" s="32" t="inlineStr">
        <is>
          <t>Not started</t>
        </is>
      </c>
      <c r="C13" s="32" t="inlineStr">
        <is>
          <t>Entry</t>
        </is>
      </c>
      <c r="D13" s="32" t="inlineStr">
        <is>
          <t>Fast Track (a mode, started by a button)</t>
        </is>
      </c>
      <c r="E13" s="32" t="inlineStr">
        <is>
          <t>80/20 quick setup in about 5 minutes; walks the Basics pass across Numbers tabs</t>
        </is>
      </c>
      <c r="F13" s="32" t="inlineStr">
        <is>
          <t>Primary</t>
        </is>
      </c>
      <c r="G13" s="32" t="inlineStr">
        <is>
          <t>Now</t>
        </is>
      </c>
      <c r="H13" s="32" t="inlineStr">
        <is>
          <t>Fast Track stage</t>
        </is>
      </c>
      <c r="I13" s="32" t="n"/>
    </row>
    <row r="14">
      <c r="A14" s="32" t="inlineStr">
        <is>
          <t>X012</t>
        </is>
      </c>
      <c r="B14" s="32" t="inlineStr">
        <is>
          <t>Not started</t>
        </is>
      </c>
      <c r="C14" s="32" t="inlineStr">
        <is>
          <t>Entry</t>
        </is>
      </c>
      <c r="D14" s="32" t="inlineStr">
        <is>
          <t>Guide me mode</t>
        </is>
      </c>
      <c r="E14" s="32" t="inlineStr">
        <is>
          <t>Session path on Numbers, not its own tab</t>
        </is>
      </c>
      <c r="F14" s="32" t="inlineStr">
        <is>
          <t>Primary</t>
        </is>
      </c>
      <c r="G14" s="32" t="inlineStr">
        <is>
          <t>Now</t>
        </is>
      </c>
      <c r="H14" s="32" t="inlineStr">
        <is>
          <t>Session 1 stage</t>
        </is>
      </c>
      <c r="I14" s="32" t="n"/>
    </row>
    <row r="15">
      <c r="A15" s="32" t="inlineStr">
        <is>
          <t>X013</t>
        </is>
      </c>
      <c r="B15" s="32" t="inlineStr">
        <is>
          <t>Not started</t>
        </is>
      </c>
      <c r="C15" s="32" t="inlineStr">
        <is>
          <t>Entry</t>
        </is>
      </c>
      <c r="D15" s="32" t="inlineStr">
        <is>
          <t>One page mode (Express form)</t>
        </is>
      </c>
      <c r="E15" s="32" t="inlineStr">
        <is>
          <t>By section | One page toggle on Numbers: every question on one page</t>
        </is>
      </c>
      <c r="F15" s="32" t="inlineStr">
        <is>
          <t>Secondary</t>
        </is>
      </c>
      <c r="G15" s="32" t="inlineStr">
        <is>
          <t>Now</t>
        </is>
      </c>
      <c r="H15" s="32" t="n"/>
      <c r="I15" s="32" t="n"/>
    </row>
    <row r="16">
      <c r="A16" s="32" t="inlineStr">
        <is>
          <t>X014</t>
        </is>
      </c>
      <c r="B16" s="32" t="inlineStr">
        <is>
          <t>Not started</t>
        </is>
      </c>
      <c r="C16" s="32" t="inlineStr">
        <is>
          <t>Entry</t>
        </is>
      </c>
      <c r="D16" s="32" t="inlineStr">
        <is>
          <t>Undo and redo</t>
        </is>
      </c>
      <c r="E16" s="32" t="inlineStr">
        <is>
          <t>Global</t>
        </is>
      </c>
      <c r="F16" s="32" t="inlineStr">
        <is>
          <t>Secondary</t>
        </is>
      </c>
      <c r="G16" s="32" t="inlineStr">
        <is>
          <t>Now</t>
        </is>
      </c>
      <c r="H16" s="32" t="n"/>
      <c r="I16" s="32" t="n"/>
    </row>
    <row r="17">
      <c r="A17" s="32" t="inlineStr">
        <is>
          <t>X015</t>
        </is>
      </c>
      <c r="B17" s="32" t="inlineStr">
        <is>
          <t>Not started</t>
        </is>
      </c>
      <c r="C17" s="32" t="inlineStr">
        <is>
          <t>Status and tags</t>
        </is>
      </c>
      <c r="D17" s="32" t="inlineStr">
        <is>
          <t>Confidence status per number</t>
        </is>
      </c>
      <c r="E17" s="32" t="inlineStr">
        <is>
          <t>Know it, roughly, not sure, will email, not now, not for me, computed</t>
        </is>
      </c>
      <c r="F17" s="32" t="inlineStr">
        <is>
          <t>Primary</t>
        </is>
      </c>
      <c r="G17" s="32" t="inlineStr">
        <is>
          <t>Now</t>
        </is>
      </c>
      <c r="H17" s="32" t="inlineStr">
        <is>
          <t>All</t>
        </is>
      </c>
      <c r="I17" s="32" t="inlineStr">
        <is>
          <t>Status process needs redoing (Oct 27)</t>
        </is>
      </c>
    </row>
    <row r="18">
      <c r="A18" s="32" t="inlineStr">
        <is>
          <t>X016</t>
        </is>
      </c>
      <c r="B18" s="32" t="inlineStr">
        <is>
          <t>Not started</t>
        </is>
      </c>
      <c r="C18" s="32" t="inlineStr">
        <is>
          <t>Status and tags</t>
        </is>
      </c>
      <c r="D18" s="32" t="inlineStr">
        <is>
          <t>Homework from 'will email'</t>
        </is>
      </c>
      <c r="E18" s="32" t="inlineStr">
        <is>
          <t>Any number marked will email lands on the homework list</t>
        </is>
      </c>
      <c r="F18" s="32" t="inlineStr">
        <is>
          <t>Primary</t>
        </is>
      </c>
      <c r="G18" s="32" t="inlineStr">
        <is>
          <t>Now</t>
        </is>
      </c>
      <c r="H18" s="32" t="inlineStr">
        <is>
          <t>All</t>
        </is>
      </c>
      <c r="I18" s="32" t="n"/>
    </row>
    <row r="19">
      <c r="A19" s="32" t="inlineStr">
        <is>
          <t>X017</t>
        </is>
      </c>
      <c r="B19" s="32" t="inlineStr">
        <is>
          <t>Not started</t>
        </is>
      </c>
      <c r="C19" s="32" t="inlineStr">
        <is>
          <t>Status and tags</t>
        </is>
      </c>
      <c r="D19" s="32" t="inlineStr">
        <is>
          <t>Rough and stale nag</t>
        </is>
      </c>
      <c r="E19" s="32" t="inlineStr">
        <is>
          <t>Age of every number plus next check date</t>
        </is>
      </c>
      <c r="F19" s="32" t="inlineStr">
        <is>
          <t>Primary</t>
        </is>
      </c>
      <c r="G19" s="32" t="inlineStr">
        <is>
          <t>Now</t>
        </is>
      </c>
      <c r="H19" s="32" t="inlineStr">
        <is>
          <t>All</t>
        </is>
      </c>
      <c r="I19" s="32" t="n"/>
    </row>
    <row r="20">
      <c r="A20" s="32" t="inlineStr">
        <is>
          <t>X018</t>
        </is>
      </c>
      <c r="B20" s="32" t="inlineStr">
        <is>
          <t>Not started</t>
        </is>
      </c>
      <c r="C20" s="32" t="inlineStr">
        <is>
          <t>Status and tags</t>
        </is>
      </c>
      <c r="D20" s="32" t="inlineStr">
        <is>
          <t>Revisit list</t>
        </is>
      </c>
      <c r="E20" s="32" t="inlineStr">
        <is>
          <t>One place listing every rough or not sure number</t>
        </is>
      </c>
      <c r="F20" s="32" t="inlineStr">
        <is>
          <t>Primary</t>
        </is>
      </c>
      <c r="G20" s="32" t="inlineStr">
        <is>
          <t>Now</t>
        </is>
      </c>
      <c r="H20" s="32" t="inlineStr">
        <is>
          <t>All</t>
        </is>
      </c>
      <c r="I20" s="32" t="n"/>
    </row>
    <row r="21">
      <c r="A21" s="32" t="inlineStr">
        <is>
          <t>X019</t>
        </is>
      </c>
      <c r="B21" s="32" t="inlineStr">
        <is>
          <t>Not started</t>
        </is>
      </c>
      <c r="C21" s="32" t="inlineStr">
        <is>
          <t>Status and tags</t>
        </is>
      </c>
      <c r="D21" s="32" t="inlineStr">
        <is>
          <t>Stress rating</t>
        </is>
      </c>
      <c r="E21" s="32" t="inlineStr">
        <is>
          <t>1 to 5 on debts and accounts, feeds payoff order</t>
        </is>
      </c>
      <c r="F21" s="32" t="inlineStr">
        <is>
          <t>Primary</t>
        </is>
      </c>
      <c r="G21" s="32" t="inlineStr">
        <is>
          <t>Now</t>
        </is>
      </c>
      <c r="H21" s="32" t="inlineStr">
        <is>
          <t>Debt, Assets</t>
        </is>
      </c>
      <c r="I21" s="32" t="n"/>
    </row>
    <row r="22">
      <c r="A22" s="32" t="inlineStr">
        <is>
          <t>X020</t>
        </is>
      </c>
      <c r="B22" s="32" t="inlineStr">
        <is>
          <t>Not started</t>
        </is>
      </c>
      <c r="C22" s="32" t="inlineStr">
        <is>
          <t>Status and tags</t>
        </is>
      </c>
      <c r="D22" s="32" t="inlineStr">
        <is>
          <t>Materiality</t>
        </is>
      </c>
      <c r="E22" s="32" t="inlineStr">
        <is>
          <t>Under $100/yr is trivial; real hourly wage per hour of effort is the material line</t>
        </is>
      </c>
      <c r="F22" s="32" t="inlineStr">
        <is>
          <t>Secondary</t>
        </is>
      </c>
      <c r="G22" s="32" t="inlineStr">
        <is>
          <t>Now</t>
        </is>
      </c>
      <c r="H22" s="32" t="n"/>
      <c r="I22" s="32" t="n"/>
    </row>
    <row r="23">
      <c r="A23" s="32" t="inlineStr">
        <is>
          <t>X021</t>
        </is>
      </c>
      <c r="B23" s="32" t="inlineStr">
        <is>
          <t>Not started</t>
        </is>
      </c>
      <c r="C23" s="32" t="inlineStr">
        <is>
          <t>Status and tags</t>
        </is>
      </c>
      <c r="D23" s="32" t="inlineStr">
        <is>
          <t>Next 3 numbers</t>
        </is>
      </c>
      <c r="E23" s="32" t="inlineStr">
        <is>
          <t>Ranked by leverage on FI date and metrics, one big, two small</t>
        </is>
      </c>
      <c r="F23" s="32" t="inlineStr">
        <is>
          <t>Primary</t>
        </is>
      </c>
      <c r="G23" s="32" t="inlineStr">
        <is>
          <t>Now</t>
        </is>
      </c>
      <c r="H23" s="32" t="inlineStr">
        <is>
          <t>All</t>
        </is>
      </c>
      <c r="I23" s="32" t="n"/>
    </row>
    <row r="24">
      <c r="A24" s="32" t="inlineStr">
        <is>
          <t>X022</t>
        </is>
      </c>
      <c r="B24" s="32" t="inlineStr">
        <is>
          <t>Not started</t>
        </is>
      </c>
      <c r="C24" s="32" t="inlineStr">
        <is>
          <t>Status and tags</t>
        </is>
      </c>
      <c r="D24" s="32" t="inlineStr">
        <is>
          <t>Completion bars</t>
        </is>
      </c>
      <c r="E24" s="32" t="inlineStr">
        <is>
          <t>Two bars per section and topic (core, full detail) with a clickable what's next</t>
        </is>
      </c>
      <c r="F24" s="32" t="inlineStr">
        <is>
          <t>Primary</t>
        </is>
      </c>
      <c r="G24" s="32" t="inlineStr">
        <is>
          <t>Now</t>
        </is>
      </c>
      <c r="H24" s="32" t="inlineStr">
        <is>
          <t>All</t>
        </is>
      </c>
      <c r="I24" s="32" t="n"/>
    </row>
    <row r="25">
      <c r="A25" s="32" t="inlineStr">
        <is>
          <t>X023</t>
        </is>
      </c>
      <c r="B25" s="32" t="inlineStr">
        <is>
          <t>Not started</t>
        </is>
      </c>
      <c r="C25" s="32" t="inlineStr">
        <is>
          <t>Status and tags</t>
        </is>
      </c>
      <c r="D25" s="32" t="inlineStr">
        <is>
          <t>Small wins tab</t>
        </is>
      </c>
      <c r="E25" s="32" t="inlineStr">
        <is>
          <t>Batch the trivial items as quick mini-games</t>
        </is>
      </c>
      <c r="F25" s="32" t="inlineStr">
        <is>
          <t>Secondary</t>
        </is>
      </c>
      <c r="G25" s="32" t="inlineStr">
        <is>
          <t>Later</t>
        </is>
      </c>
      <c r="H25" s="32" t="n"/>
      <c r="I25" s="32" t="n"/>
    </row>
    <row r="26">
      <c r="A26" s="32" t="inlineStr">
        <is>
          <t>X024</t>
        </is>
      </c>
      <c r="B26" s="32" t="inlineStr">
        <is>
          <t>Not started</t>
        </is>
      </c>
      <c r="C26" s="32" t="inlineStr">
        <is>
          <t>Engine</t>
        </is>
      </c>
      <c r="D26" s="32" t="inlineStr">
        <is>
          <t>Year-by-year projection</t>
        </is>
      </c>
      <c r="E26" s="32" t="inlineStr">
        <is>
          <t>One continuous engine, now through death, all tools read from it</t>
        </is>
      </c>
      <c r="F26" s="32" t="inlineStr">
        <is>
          <t>Primary</t>
        </is>
      </c>
      <c r="G26" s="32" t="inlineStr">
        <is>
          <t>Now</t>
        </is>
      </c>
      <c r="H26" s="32" t="n"/>
      <c r="I26" s="32" t="n"/>
    </row>
    <row r="27">
      <c r="A27" s="32" t="inlineStr">
        <is>
          <t>X025</t>
        </is>
      </c>
      <c r="B27" s="32" t="inlineStr">
        <is>
          <t>Not started</t>
        </is>
      </c>
      <c r="C27" s="32" t="inlineStr">
        <is>
          <t>Engine</t>
        </is>
      </c>
      <c r="D27" s="32" t="inlineStr">
        <is>
          <t>Federal plus FICA taxes</t>
        </is>
      </c>
      <c r="E27" s="32" t="inlineStr">
        <is>
          <t>v1 tax depth</t>
        </is>
      </c>
      <c r="F27" s="32" t="inlineStr">
        <is>
          <t>Primary</t>
        </is>
      </c>
      <c r="G27" s="32" t="inlineStr">
        <is>
          <t>Now</t>
        </is>
      </c>
      <c r="H27" s="32" t="n"/>
      <c r="I27" s="32" t="n"/>
    </row>
    <row r="28">
      <c r="A28" s="32" t="inlineStr">
        <is>
          <t>X026</t>
        </is>
      </c>
      <c r="B28" s="32" t="inlineStr">
        <is>
          <t>Not started</t>
        </is>
      </c>
      <c r="C28" s="32" t="inlineStr">
        <is>
          <t>Engine</t>
        </is>
      </c>
      <c r="D28" s="32" t="inlineStr">
        <is>
          <t>Savings waterfall to limits</t>
        </is>
      </c>
      <c r="E28" s="32" t="inlineStr">
        <is>
          <t>Match, then IRA, HSA, 401(k) to the legal limit, with a selectable goal</t>
        </is>
      </c>
      <c r="F28" s="32" t="inlineStr">
        <is>
          <t>Secondary</t>
        </is>
      </c>
      <c r="G28" s="32" t="inlineStr">
        <is>
          <t>Now</t>
        </is>
      </c>
      <c r="H28" s="32" t="n"/>
      <c r="I28" s="32" t="n"/>
    </row>
    <row r="29">
      <c r="A29" s="32" t="inlineStr">
        <is>
          <t>X027</t>
        </is>
      </c>
      <c r="B29" s="32" t="inlineStr">
        <is>
          <t>Not started</t>
        </is>
      </c>
      <c r="C29" s="32" t="inlineStr">
        <is>
          <t>Engine</t>
        </is>
      </c>
      <c r="D29" s="32" t="inlineStr">
        <is>
          <t>Debt payoff simulation</t>
        </is>
      </c>
      <c r="E29" s="32" t="inlineStr">
        <is>
          <t>Months, date, total interest, avalanche, snowball, stress-weighted</t>
        </is>
      </c>
      <c r="F29" s="32" t="inlineStr">
        <is>
          <t>Primary</t>
        </is>
      </c>
      <c r="G29" s="32" t="inlineStr">
        <is>
          <t>Now</t>
        </is>
      </c>
      <c r="H29" s="32" t="n"/>
      <c r="I29" s="32" t="n"/>
    </row>
    <row r="30">
      <c r="A30" s="32" t="inlineStr">
        <is>
          <t>X028</t>
        </is>
      </c>
      <c r="B30" s="32" t="inlineStr">
        <is>
          <t>Not started</t>
        </is>
      </c>
      <c r="C30" s="32" t="inlineStr">
        <is>
          <t>Engine</t>
        </is>
      </c>
      <c r="D30" s="32" t="inlineStr">
        <is>
          <t>Triple D pace</t>
        </is>
      </c>
      <c r="E30" s="32" t="inlineStr">
        <is>
          <t>Optimistic, likely, pessimistic bands</t>
        </is>
      </c>
      <c r="F30" s="32" t="inlineStr">
        <is>
          <t>Secondary</t>
        </is>
      </c>
      <c r="G30" s="32" t="inlineStr">
        <is>
          <t>Now</t>
        </is>
      </c>
      <c r="H30" s="32" t="n"/>
      <c r="I30" s="32" t="n"/>
    </row>
    <row r="31">
      <c r="A31" s="32" t="inlineStr">
        <is>
          <t>X029</t>
        </is>
      </c>
      <c r="B31" s="32" t="inlineStr">
        <is>
          <t>Not started</t>
        </is>
      </c>
      <c r="C31" s="32" t="inlineStr">
        <is>
          <t>Engine</t>
        </is>
      </c>
      <c r="D31" s="32" t="inlineStr">
        <is>
          <t>Real dollars default</t>
        </is>
      </c>
      <c r="E31" s="32" t="inlineStr">
        <is>
          <t>Nominal toggle with a plain definition</t>
        </is>
      </c>
      <c r="F31" s="32" t="inlineStr">
        <is>
          <t>Tertiary</t>
        </is>
      </c>
      <c r="G31" s="32" t="inlineStr">
        <is>
          <t>Now</t>
        </is>
      </c>
      <c r="H31" s="32" t="n"/>
      <c r="I31" s="32" t="n"/>
    </row>
    <row r="32">
      <c r="A32" s="32" t="inlineStr">
        <is>
          <t>X030</t>
        </is>
      </c>
      <c r="B32" s="32" t="inlineStr">
        <is>
          <t>Not started</t>
        </is>
      </c>
      <c r="C32" s="32" t="inlineStr">
        <is>
          <t>Engine</t>
        </is>
      </c>
      <c r="D32" s="32" t="inlineStr">
        <is>
          <t>Advanced toggles</t>
        </is>
      </c>
      <c r="E32" s="32" t="inlineStr">
        <is>
          <t>Roth ladder, 72(t), rule of 55, ACA tradeoff</t>
        </is>
      </c>
      <c r="F32" s="32" t="inlineStr">
        <is>
          <t>Tertiary</t>
        </is>
      </c>
      <c r="G32" s="32" t="inlineStr">
        <is>
          <t>Later</t>
        </is>
      </c>
      <c r="H32" s="32" t="n"/>
      <c r="I32" s="32" t="n"/>
    </row>
    <row r="33">
      <c r="A33" s="32" t="inlineStr">
        <is>
          <t>X031</t>
        </is>
      </c>
      <c r="B33" s="32" t="inlineStr">
        <is>
          <t>Not started</t>
        </is>
      </c>
      <c r="C33" s="32" t="inlineStr">
        <is>
          <t>Metrics</t>
        </is>
      </c>
      <c r="D33" s="32" t="inlineStr">
        <is>
          <t>Net worth (liquid and total)</t>
        </is>
      </c>
      <c r="E33" s="32" t="inlineStr">
        <is>
          <t>Unlocks once its inputs exist</t>
        </is>
      </c>
      <c r="F33" s="32" t="inlineStr">
        <is>
          <t>Primary</t>
        </is>
      </c>
      <c r="G33" s="32" t="inlineStr">
        <is>
          <t>Now</t>
        </is>
      </c>
      <c r="H33" s="32" t="n"/>
      <c r="I33" s="32" t="n"/>
    </row>
    <row r="34">
      <c r="A34" s="32" t="inlineStr">
        <is>
          <t>X032</t>
        </is>
      </c>
      <c r="B34" s="32" t="inlineStr">
        <is>
          <t>Not started</t>
        </is>
      </c>
      <c r="C34" s="32" t="inlineStr">
        <is>
          <t>Metrics</t>
        </is>
      </c>
      <c r="D34" s="32" t="inlineStr">
        <is>
          <t>Savings rate</t>
        </is>
      </c>
      <c r="E34" s="32" t="inlineStr">
        <is>
          <t>Unlocks once its inputs exist</t>
        </is>
      </c>
      <c r="F34" s="32" t="inlineStr">
        <is>
          <t>Primary</t>
        </is>
      </c>
      <c r="G34" s="32" t="inlineStr">
        <is>
          <t>Now</t>
        </is>
      </c>
      <c r="H34" s="32" t="n"/>
      <c r="I34" s="32" t="n"/>
    </row>
    <row r="35">
      <c r="A35" s="32" t="inlineStr">
        <is>
          <t>X033</t>
        </is>
      </c>
      <c r="B35" s="32" t="inlineStr">
        <is>
          <t>Not started</t>
        </is>
      </c>
      <c r="C35" s="32" t="inlineStr">
        <is>
          <t>Metrics</t>
        </is>
      </c>
      <c r="D35" s="32" t="inlineStr">
        <is>
          <t>DRAFTT proportions</t>
        </is>
      </c>
      <c r="E35" s="32" t="inlineStr">
        <is>
          <t>Unlocks once its inputs exist</t>
        </is>
      </c>
      <c r="F35" s="32" t="inlineStr">
        <is>
          <t>Primary</t>
        </is>
      </c>
      <c r="G35" s="32" t="inlineStr">
        <is>
          <t>Now</t>
        </is>
      </c>
      <c r="H35" s="32" t="n"/>
      <c r="I35" s="32" t="n"/>
    </row>
    <row r="36">
      <c r="A36" s="32" t="inlineStr">
        <is>
          <t>X034</t>
        </is>
      </c>
      <c r="B36" s="32" t="inlineStr">
        <is>
          <t>Not started</t>
        </is>
      </c>
      <c r="C36" s="32" t="inlineStr">
        <is>
          <t>Metrics</t>
        </is>
      </c>
      <c r="D36" s="32" t="inlineStr">
        <is>
          <t>FI date and FI number</t>
        </is>
      </c>
      <c r="E36" s="32" t="inlineStr">
        <is>
          <t>Unlocks once its inputs exist</t>
        </is>
      </c>
      <c r="F36" s="32" t="inlineStr">
        <is>
          <t>Primary</t>
        </is>
      </c>
      <c r="G36" s="32" t="inlineStr">
        <is>
          <t>Now</t>
        </is>
      </c>
      <c r="H36" s="32" t="n"/>
      <c r="I36" s="32" t="n"/>
    </row>
    <row r="37">
      <c r="A37" s="32" t="inlineStr">
        <is>
          <t>X035</t>
        </is>
      </c>
      <c r="B37" s="32" t="inlineStr">
        <is>
          <t>Not started</t>
        </is>
      </c>
      <c r="C37" s="32" t="inlineStr">
        <is>
          <t>Metrics</t>
        </is>
      </c>
      <c r="D37" s="32" t="inlineStr">
        <is>
          <t>% to each FI (Lean, Coast, Barista, Regular)</t>
        </is>
      </c>
      <c r="E37" s="32" t="inlineStr">
        <is>
          <t>Unlocks once its inputs exist</t>
        </is>
      </c>
      <c r="F37" s="32" t="inlineStr">
        <is>
          <t>Secondary</t>
        </is>
      </c>
      <c r="G37" s="32" t="inlineStr">
        <is>
          <t>Now</t>
        </is>
      </c>
      <c r="H37" s="32" t="n"/>
      <c r="I37" s="32" t="n"/>
    </row>
    <row r="38">
      <c r="A38" s="32" t="inlineStr">
        <is>
          <t>X036</t>
        </is>
      </c>
      <c r="B38" s="32" t="inlineStr">
        <is>
          <t>Not started</t>
        </is>
      </c>
      <c r="C38" s="32" t="inlineStr">
        <is>
          <t>Metrics</t>
        </is>
      </c>
      <c r="D38" s="32" t="inlineStr">
        <is>
          <t>Debt-to-income</t>
        </is>
      </c>
      <c r="E38" s="32" t="inlineStr">
        <is>
          <t>Unlocks once its inputs exist</t>
        </is>
      </c>
      <c r="F38" s="32" t="inlineStr">
        <is>
          <t>Secondary</t>
        </is>
      </c>
      <c r="G38" s="32" t="inlineStr">
        <is>
          <t>Now</t>
        </is>
      </c>
      <c r="H38" s="32" t="n"/>
      <c r="I38" s="32" t="n"/>
    </row>
    <row r="39">
      <c r="A39" s="32" t="inlineStr">
        <is>
          <t>X037</t>
        </is>
      </c>
      <c r="B39" s="32" t="inlineStr">
        <is>
          <t>Not started</t>
        </is>
      </c>
      <c r="C39" s="32" t="inlineStr">
        <is>
          <t>Metrics</t>
        </is>
      </c>
      <c r="D39" s="32" t="inlineStr">
        <is>
          <t>Housing % of take-home (35% line)</t>
        </is>
      </c>
      <c r="E39" s="32" t="inlineStr">
        <is>
          <t>Unlocks once its inputs exist</t>
        </is>
      </c>
      <c r="F39" s="32" t="inlineStr">
        <is>
          <t>Secondary</t>
        </is>
      </c>
      <c r="G39" s="32" t="inlineStr">
        <is>
          <t>Now</t>
        </is>
      </c>
      <c r="H39" s="32" t="n"/>
      <c r="I39" s="32" t="n"/>
    </row>
    <row r="40">
      <c r="A40" s="32" t="inlineStr">
        <is>
          <t>X038</t>
        </is>
      </c>
      <c r="B40" s="32" t="inlineStr">
        <is>
          <t>Not started</t>
        </is>
      </c>
      <c r="C40" s="32" t="inlineStr">
        <is>
          <t>Metrics</t>
        </is>
      </c>
      <c r="D40" s="32" t="inlineStr">
        <is>
          <t>Emergency fund vs Rule of 5</t>
        </is>
      </c>
      <c r="E40" s="32" t="inlineStr">
        <is>
          <t>Unlocks once its inputs exist</t>
        </is>
      </c>
      <c r="F40" s="32" t="inlineStr">
        <is>
          <t>Secondary</t>
        </is>
      </c>
      <c r="G40" s="32" t="inlineStr">
        <is>
          <t>Now</t>
        </is>
      </c>
      <c r="H40" s="32" t="n"/>
      <c r="I40" s="32" t="n"/>
    </row>
    <row r="41">
      <c r="A41" s="32" t="inlineStr">
        <is>
          <t>X039</t>
        </is>
      </c>
      <c r="B41" s="32" t="inlineStr">
        <is>
          <t>Not started</t>
        </is>
      </c>
      <c r="C41" s="32" t="inlineStr">
        <is>
          <t>Metrics</t>
        </is>
      </c>
      <c r="D41" s="32" t="inlineStr">
        <is>
          <t>Effective and marginal tax rate</t>
        </is>
      </c>
      <c r="E41" s="32" t="inlineStr">
        <is>
          <t>Unlocks once its inputs exist</t>
        </is>
      </c>
      <c r="F41" s="32" t="inlineStr">
        <is>
          <t>Secondary</t>
        </is>
      </c>
      <c r="G41" s="32" t="inlineStr">
        <is>
          <t>Now</t>
        </is>
      </c>
      <c r="H41" s="32" t="n"/>
      <c r="I41" s="32" t="n"/>
    </row>
    <row r="42">
      <c r="A42" s="32" t="inlineStr">
        <is>
          <t>X040</t>
        </is>
      </c>
      <c r="B42" s="32" t="inlineStr">
        <is>
          <t>Not started</t>
        </is>
      </c>
      <c r="C42" s="32" t="inlineStr">
        <is>
          <t>Metrics</t>
        </is>
      </c>
      <c r="D42" s="32" t="inlineStr">
        <is>
          <t>Credit utilization</t>
        </is>
      </c>
      <c r="E42" s="32" t="inlineStr">
        <is>
          <t>Unlocks once its inputs exist</t>
        </is>
      </c>
      <c r="F42" s="32" t="inlineStr">
        <is>
          <t>Secondary</t>
        </is>
      </c>
      <c r="G42" s="32" t="inlineStr">
        <is>
          <t>Now</t>
        </is>
      </c>
      <c r="H42" s="32" t="n"/>
      <c r="I42" s="32" t="n"/>
    </row>
    <row r="43">
      <c r="A43" s="32" t="inlineStr">
        <is>
          <t>X041</t>
        </is>
      </c>
      <c r="B43" s="32" t="inlineStr">
        <is>
          <t>Not started</t>
        </is>
      </c>
      <c r="C43" s="32" t="inlineStr">
        <is>
          <t>Metrics</t>
        </is>
      </c>
      <c r="D43" s="32" t="inlineStr">
        <is>
          <t>Real hourly wage</t>
        </is>
      </c>
      <c r="E43" s="32" t="inlineStr">
        <is>
          <t>Unlocks once its inputs exist</t>
        </is>
      </c>
      <c r="F43" s="32" t="inlineStr">
        <is>
          <t>Tertiary</t>
        </is>
      </c>
      <c r="G43" s="32" t="inlineStr">
        <is>
          <t>Now</t>
        </is>
      </c>
      <c r="H43" s="32" t="n"/>
      <c r="I43" s="32" t="n"/>
    </row>
    <row r="44">
      <c r="A44" s="32" t="inlineStr">
        <is>
          <t>X042</t>
        </is>
      </c>
      <c r="B44" s="32" t="inlineStr">
        <is>
          <t>Not started</t>
        </is>
      </c>
      <c r="C44" s="32" t="inlineStr">
        <is>
          <t>Metrics</t>
        </is>
      </c>
      <c r="D44" s="32" t="inlineStr">
        <is>
          <t>Metrics unlocked shelf</t>
        </is>
      </c>
      <c r="E44" s="32" t="inlineStr">
        <is>
          <t>Like rewards unlocked, but metrics</t>
        </is>
      </c>
      <c r="F44" s="32" t="inlineStr">
        <is>
          <t>Secondary</t>
        </is>
      </c>
      <c r="G44" s="32" t="inlineStr">
        <is>
          <t>Now</t>
        </is>
      </c>
      <c r="H44" s="32" t="n"/>
      <c r="I44" s="32" t="n"/>
    </row>
    <row r="45">
      <c r="A45" s="32" t="inlineStr">
        <is>
          <t>X043</t>
        </is>
      </c>
      <c r="B45" s="32" t="inlineStr">
        <is>
          <t>Not started</t>
        </is>
      </c>
      <c r="C45" s="32" t="inlineStr">
        <is>
          <t>Visuals</t>
        </is>
      </c>
      <c r="D45" s="32" t="inlineStr">
        <is>
          <t>Net worth donuts</t>
        </is>
      </c>
      <c r="E45" s="32" t="inlineStr">
        <is>
          <t>Net worth, assets, liabilities, equity with tabs underneath</t>
        </is>
      </c>
      <c r="F45" s="32" t="inlineStr">
        <is>
          <t>Primary</t>
        </is>
      </c>
      <c r="G45" s="32" t="inlineStr">
        <is>
          <t>Now</t>
        </is>
      </c>
      <c r="H45" s="32" t="n"/>
      <c r="I45" s="32" t="inlineStr">
        <is>
          <t>ProjectionLab Current Finances</t>
        </is>
      </c>
    </row>
    <row r="46">
      <c r="A46" s="32" t="inlineStr">
        <is>
          <t>X044</t>
        </is>
      </c>
      <c r="B46" s="32" t="inlineStr">
        <is>
          <t>Not started</t>
        </is>
      </c>
      <c r="C46" s="32" t="inlineStr">
        <is>
          <t>Visuals</t>
        </is>
      </c>
      <c r="D46" s="32" t="inlineStr">
        <is>
          <t>Cash flow Sankey</t>
        </is>
      </c>
      <c r="E46" s="32" t="inlineStr">
        <is>
          <t>Income to spending to saving</t>
        </is>
      </c>
      <c r="F46" s="32" t="inlineStr">
        <is>
          <t>Primary</t>
        </is>
      </c>
      <c r="G46" s="32" t="inlineStr">
        <is>
          <t>Now</t>
        </is>
      </c>
      <c r="H46" s="32" t="n"/>
      <c r="I46" s="32" t="n"/>
    </row>
    <row r="47">
      <c r="A47" s="32" t="inlineStr">
        <is>
          <t>X045</t>
        </is>
      </c>
      <c r="B47" s="32" t="inlineStr">
        <is>
          <t>Not started</t>
        </is>
      </c>
      <c r="C47" s="32" t="inlineStr">
        <is>
          <t>Visuals</t>
        </is>
      </c>
      <c r="D47" s="32" t="inlineStr">
        <is>
          <t>FI timeline with milestones</t>
        </is>
      </c>
      <c r="E47" s="32" t="inlineStr">
        <is>
          <t>Drag-to-see-the-future slider</t>
        </is>
      </c>
      <c r="F47" s="32" t="inlineStr">
        <is>
          <t>Secondary</t>
        </is>
      </c>
      <c r="G47" s="32" t="inlineStr">
        <is>
          <t>Now</t>
        </is>
      </c>
      <c r="H47" s="32" t="n"/>
      <c r="I47" s="32" t="n"/>
    </row>
    <row r="48">
      <c r="A48" s="32" t="inlineStr">
        <is>
          <t>X046</t>
        </is>
      </c>
      <c r="B48" s="32" t="inlineStr">
        <is>
          <t>Not started</t>
        </is>
      </c>
      <c r="C48" s="32" t="inlineStr">
        <is>
          <t>Visuals</t>
        </is>
      </c>
      <c r="D48" s="32" t="inlineStr">
        <is>
          <t>Debt payoff chart</t>
        </is>
      </c>
      <c r="E48" s="32" t="inlineStr">
        <is>
          <t>Balance over time per debt</t>
        </is>
      </c>
      <c r="F48" s="32" t="inlineStr">
        <is>
          <t>Secondary</t>
        </is>
      </c>
      <c r="G48" s="32" t="inlineStr">
        <is>
          <t>Now</t>
        </is>
      </c>
      <c r="H48" s="32" t="n"/>
      <c r="I48" s="32" t="n"/>
    </row>
    <row r="49">
      <c r="A49" s="32" t="inlineStr">
        <is>
          <t>X047</t>
        </is>
      </c>
      <c r="B49" s="32" t="inlineStr">
        <is>
          <t>Not started</t>
        </is>
      </c>
      <c r="C49" s="32" t="inlineStr">
        <is>
          <t>Visuals</t>
        </is>
      </c>
      <c r="D49" s="32" t="inlineStr">
        <is>
          <t>Graceful degradation</t>
        </is>
      </c>
      <c r="E49" s="32" t="inlineStr">
        <is>
          <t>Months at full spending, DRAFTT, FAT, food and housing only</t>
        </is>
      </c>
      <c r="F49" s="32" t="inlineStr">
        <is>
          <t>Secondary</t>
        </is>
      </c>
      <c r="G49" s="32" t="inlineStr">
        <is>
          <t>Later</t>
        </is>
      </c>
      <c r="H49" s="32" t="n"/>
      <c r="I49" s="32" t="n"/>
    </row>
    <row r="50">
      <c r="A50" s="32" t="inlineStr">
        <is>
          <t>X048</t>
        </is>
      </c>
      <c r="B50" s="32" t="inlineStr">
        <is>
          <t>Not started</t>
        </is>
      </c>
      <c r="C50" s="32" t="inlineStr">
        <is>
          <t>Visuals</t>
        </is>
      </c>
      <c r="D50" s="32" t="inlineStr">
        <is>
          <t>Life Pyramid lens</t>
        </is>
      </c>
      <c r="E50" s="32" t="inlineStr">
        <is>
          <t>Maslow pyramid as a bar graph</t>
        </is>
      </c>
      <c r="F50" s="32" t="inlineStr">
        <is>
          <t>Tertiary</t>
        </is>
      </c>
      <c r="G50" s="32" t="inlineStr">
        <is>
          <t>Later</t>
        </is>
      </c>
      <c r="H50" s="32" t="n"/>
      <c r="I50" s="32" t="n"/>
    </row>
    <row r="51">
      <c r="A51" s="32" t="inlineStr">
        <is>
          <t>X049</t>
        </is>
      </c>
      <c r="B51" s="32" t="inlineStr">
        <is>
          <t>Not started</t>
        </is>
      </c>
      <c r="C51" s="32" t="inlineStr">
        <is>
          <t>Visuals</t>
        </is>
      </c>
      <c r="D51" s="32" t="inlineStr">
        <is>
          <t>Pareto of transactions</t>
        </is>
      </c>
      <c r="E51" s="32" t="inlineStr">
        <is>
          <t>Which few transactions make most spending</t>
        </is>
      </c>
      <c r="F51" s="32" t="inlineStr">
        <is>
          <t>Tertiary</t>
        </is>
      </c>
      <c r="G51" s="32" t="inlineStr">
        <is>
          <t>Later</t>
        </is>
      </c>
      <c r="H51" s="32" t="n"/>
      <c r="I51" s="32" t="n"/>
    </row>
    <row r="52">
      <c r="A52" s="32" t="inlineStr">
        <is>
          <t>X050</t>
        </is>
      </c>
      <c r="B52" s="32" t="inlineStr">
        <is>
          <t>Not started</t>
        </is>
      </c>
      <c r="C52" s="32" t="inlineStr">
        <is>
          <t>Visuals</t>
        </is>
      </c>
      <c r="D52" s="32" t="inlineStr">
        <is>
          <t>Year in review (Wrapped)</t>
        </is>
      </c>
      <c r="E52" s="32" t="inlineStr">
        <is>
          <t>After a year of month-end closes</t>
        </is>
      </c>
      <c r="F52" s="32" t="inlineStr">
        <is>
          <t>Tertiary</t>
        </is>
      </c>
      <c r="G52" s="32" t="inlineStr">
        <is>
          <t>Later</t>
        </is>
      </c>
      <c r="H52" s="32" t="n"/>
      <c r="I52" s="32" t="n"/>
    </row>
    <row r="53">
      <c r="A53" s="32" t="inlineStr">
        <is>
          <t>X051</t>
        </is>
      </c>
      <c r="B53" s="32" t="inlineStr">
        <is>
          <t>Not started</t>
        </is>
      </c>
      <c r="C53" s="32" t="inlineStr">
        <is>
          <t>Session workflow</t>
        </is>
      </c>
      <c r="D53" s="32" t="inlineStr">
        <is>
          <t>Discovery table</t>
        </is>
      </c>
      <c r="E53" s="32" t="inlineStr">
        <is>
          <t>Numbers from the sales call populate the map</t>
        </is>
      </c>
      <c r="F53" s="32" t="inlineStr">
        <is>
          <t>Primary</t>
        </is>
      </c>
      <c r="G53" s="32" t="inlineStr">
        <is>
          <t>Now</t>
        </is>
      </c>
      <c r="H53" s="32" t="n"/>
      <c r="I53" s="32" t="n"/>
    </row>
    <row r="54">
      <c r="A54" s="32" t="inlineStr">
        <is>
          <t>X052</t>
        </is>
      </c>
      <c r="B54" s="32" t="inlineStr">
        <is>
          <t>Not started</t>
        </is>
      </c>
      <c r="C54" s="32" t="inlineStr">
        <is>
          <t>Session workflow</t>
        </is>
      </c>
      <c r="D54" s="32" t="inlineStr">
        <is>
          <t>Session 1 curriculum</t>
        </is>
      </c>
      <c r="E54" s="32" t="inlineStr">
        <is>
          <t>About an hour, ordered questions, flexes when a client goes deeper</t>
        </is>
      </c>
      <c r="F54" s="32" t="inlineStr">
        <is>
          <t>Primary</t>
        </is>
      </c>
      <c r="G54" s="32" t="inlineStr">
        <is>
          <t>Now</t>
        </is>
      </c>
      <c r="H54" s="32" t="n"/>
      <c r="I54" s="32" t="n"/>
    </row>
    <row r="55">
      <c r="A55" s="32" t="inlineStr">
        <is>
          <t>X053</t>
        </is>
      </c>
      <c r="B55" s="32" t="inlineStr">
        <is>
          <t>Not started</t>
        </is>
      </c>
      <c r="C55" s="32" t="inlineStr">
        <is>
          <t>Session workflow</t>
        </is>
      </c>
      <c r="D55" s="32" t="inlineStr">
        <is>
          <t>Home agenda</t>
        </is>
      </c>
      <c r="E55" s="32" t="inlineStr">
        <is>
          <t>Home opens on today's agenda plus a one-sentence money summary</t>
        </is>
      </c>
      <c r="F55" s="32" t="inlineStr">
        <is>
          <t>Primary</t>
        </is>
      </c>
      <c r="G55" s="32" t="inlineStr">
        <is>
          <t>Now</t>
        </is>
      </c>
      <c r="H55" s="32" t="n"/>
      <c r="I55" s="32" t="n"/>
    </row>
    <row r="56">
      <c r="A56" s="32" t="inlineStr">
        <is>
          <t>X054</t>
        </is>
      </c>
      <c r="B56" s="32" t="inlineStr">
        <is>
          <t>Not started</t>
        </is>
      </c>
      <c r="C56" s="32" t="inlineStr">
        <is>
          <t>Session workflow</t>
        </is>
      </c>
      <c r="D56" s="32" t="inlineStr">
        <is>
          <t>FI date reveal</t>
        </is>
      </c>
      <c r="E56" s="32" t="inlineStr">
        <is>
          <t>Big but calm reveal at end of call</t>
        </is>
      </c>
      <c r="F56" s="32" t="inlineStr">
        <is>
          <t>Primary</t>
        </is>
      </c>
      <c r="G56" s="32" t="inlineStr">
        <is>
          <t>Now</t>
        </is>
      </c>
      <c r="H56" s="32" t="n"/>
      <c r="I56" s="32" t="n"/>
    </row>
    <row r="57">
      <c r="A57" s="32" t="inlineStr">
        <is>
          <t>X055</t>
        </is>
      </c>
      <c r="B57" s="32" t="inlineStr">
        <is>
          <t>Not started</t>
        </is>
      </c>
      <c r="C57" s="32" t="inlineStr">
        <is>
          <t>Session workflow</t>
        </is>
      </c>
      <c r="D57" s="32" t="inlineStr">
        <is>
          <t>One-pager</t>
        </is>
      </c>
      <c r="E57" s="32" t="inlineStr">
        <is>
          <t>Key stats, to-dos, goals, strengths, struggles, do more, do less</t>
        </is>
      </c>
      <c r="F57" s="32" t="inlineStr">
        <is>
          <t>Primary</t>
        </is>
      </c>
      <c r="G57" s="32" t="inlineStr">
        <is>
          <t>Now</t>
        </is>
      </c>
      <c r="H57" s="32" t="n"/>
      <c r="I57" s="32" t="n"/>
    </row>
    <row r="58">
      <c r="A58" s="32" t="inlineStr">
        <is>
          <t>X056</t>
        </is>
      </c>
      <c r="B58" s="32" t="inlineStr">
        <is>
          <t>Not started</t>
        </is>
      </c>
      <c r="C58" s="32" t="inlineStr">
        <is>
          <t>Session workflow</t>
        </is>
      </c>
      <c r="D58" s="32" t="inlineStr">
        <is>
          <t>Estimate vs actual</t>
        </is>
      </c>
      <c r="E58" s="32" t="inlineStr">
        <is>
          <t>Gut, basics, rough, actual, cash flow passes compared</t>
        </is>
      </c>
      <c r="F58" s="32" t="inlineStr">
        <is>
          <t>Primary</t>
        </is>
      </c>
      <c r="G58" s="32" t="inlineStr">
        <is>
          <t>Now</t>
        </is>
      </c>
      <c r="H58" s="32" t="n"/>
      <c r="I58" s="32" t="n"/>
    </row>
    <row r="59">
      <c r="A59" s="32" t="inlineStr">
        <is>
          <t>X057</t>
        </is>
      </c>
      <c r="B59" s="32" t="inlineStr">
        <is>
          <t>Not started</t>
        </is>
      </c>
      <c r="C59" s="32" t="inlineStr">
        <is>
          <t>Session workflow</t>
        </is>
      </c>
      <c r="D59" s="32" t="inlineStr">
        <is>
          <t>Month-end loop</t>
        </is>
      </c>
      <c r="E59" s="32" t="inlineStr">
        <is>
          <t>Plan in budget, log in cash flow, actuals prefilled at month end</t>
        </is>
      </c>
      <c r="F59" s="32" t="inlineStr">
        <is>
          <t>Secondary</t>
        </is>
      </c>
      <c r="G59" s="32" t="inlineStr">
        <is>
          <t>Now</t>
        </is>
      </c>
      <c r="H59" s="32" t="n"/>
      <c r="I59" s="32" t="n"/>
    </row>
    <row r="60">
      <c r="A60" s="32" t="inlineStr">
        <is>
          <t>X058</t>
        </is>
      </c>
      <c r="B60" s="32" t="inlineStr">
        <is>
          <t>Not started</t>
        </is>
      </c>
      <c r="C60" s="32" t="inlineStr">
        <is>
          <t>Session workflow</t>
        </is>
      </c>
      <c r="D60" s="32" t="inlineStr">
        <is>
          <t>Coach tools behind a gear</t>
        </is>
      </c>
      <c r="E60" s="32" t="inlineStr">
        <is>
          <t>Never shown during calls</t>
        </is>
      </c>
      <c r="F60" s="32" t="inlineStr">
        <is>
          <t>Primary</t>
        </is>
      </c>
      <c r="G60" s="32" t="inlineStr">
        <is>
          <t>Now</t>
        </is>
      </c>
      <c r="H60" s="32" t="n"/>
      <c r="I60" s="32" t="n"/>
    </row>
    <row r="61">
      <c r="A61" s="32" t="inlineStr">
        <is>
          <t>X059</t>
        </is>
      </c>
      <c r="B61" s="32" t="inlineStr">
        <is>
          <t>Not started</t>
        </is>
      </c>
      <c r="C61" s="32" t="inlineStr">
        <is>
          <t>Tools</t>
        </is>
      </c>
      <c r="D61" s="32" t="inlineStr">
        <is>
          <t>Budget (estimate vs actual)</t>
        </is>
      </c>
      <c r="E61" s="32" t="inlineStr">
        <is>
          <t>Reads the client's existing data</t>
        </is>
      </c>
      <c r="F61" s="32" t="inlineStr">
        <is>
          <t>Secondary</t>
        </is>
      </c>
      <c r="G61" s="32" t="inlineStr">
        <is>
          <t>Now</t>
        </is>
      </c>
      <c r="H61" s="32" t="n"/>
      <c r="I61" s="32" t="n"/>
    </row>
    <row r="62">
      <c r="A62" s="32" t="inlineStr">
        <is>
          <t>X060</t>
        </is>
      </c>
      <c r="B62" s="32" t="inlineStr">
        <is>
          <t>Not started</t>
        </is>
      </c>
      <c r="C62" s="32" t="inlineStr">
        <is>
          <t>Tools</t>
        </is>
      </c>
      <c r="D62" s="32" t="inlineStr">
        <is>
          <t>Cash flow calendar</t>
        </is>
      </c>
      <c r="E62" s="32" t="inlineStr">
        <is>
          <t>Reads the client's existing data</t>
        </is>
      </c>
      <c r="F62" s="32" t="inlineStr">
        <is>
          <t>Secondary</t>
        </is>
      </c>
      <c r="G62" s="32" t="inlineStr">
        <is>
          <t>Now</t>
        </is>
      </c>
      <c r="H62" s="32" t="n"/>
      <c r="I62" s="32" t="n"/>
    </row>
    <row r="63">
      <c r="A63" s="32" t="inlineStr">
        <is>
          <t>X061</t>
        </is>
      </c>
      <c r="B63" s="32" t="inlineStr">
        <is>
          <t>Not started</t>
        </is>
      </c>
      <c r="C63" s="32" t="inlineStr">
        <is>
          <t>Tools</t>
        </is>
      </c>
      <c r="D63" s="32" t="inlineStr">
        <is>
          <t>Net worth statement</t>
        </is>
      </c>
      <c r="E63" s="32" t="inlineStr">
        <is>
          <t>Reads the client's existing data</t>
        </is>
      </c>
      <c r="F63" s="32" t="inlineStr">
        <is>
          <t>Secondary</t>
        </is>
      </c>
      <c r="G63" s="32" t="inlineStr">
        <is>
          <t>Now</t>
        </is>
      </c>
      <c r="H63" s="32" t="n"/>
      <c r="I63" s="32" t="n"/>
    </row>
    <row r="64">
      <c r="A64" s="32" t="inlineStr">
        <is>
          <t>X062</t>
        </is>
      </c>
      <c r="B64" s="32" t="inlineStr">
        <is>
          <t>Not started</t>
        </is>
      </c>
      <c r="C64" s="32" t="inlineStr">
        <is>
          <t>Tools</t>
        </is>
      </c>
      <c r="D64" s="32" t="inlineStr">
        <is>
          <t>True Cost of Debt</t>
        </is>
      </c>
      <c r="E64" s="32" t="inlineStr">
        <is>
          <t>Reads the client's existing data</t>
        </is>
      </c>
      <c r="F64" s="32" t="inlineStr">
        <is>
          <t>Secondary</t>
        </is>
      </c>
      <c r="G64" s="32" t="inlineStr">
        <is>
          <t>Later</t>
        </is>
      </c>
      <c r="H64" s="32" t="n"/>
      <c r="I64" s="32" t="n"/>
    </row>
    <row r="65">
      <c r="A65" s="32" t="inlineStr">
        <is>
          <t>X063</t>
        </is>
      </c>
      <c r="B65" s="32" t="inlineStr">
        <is>
          <t>Not started</t>
        </is>
      </c>
      <c r="C65" s="32" t="inlineStr">
        <is>
          <t>Tools</t>
        </is>
      </c>
      <c r="D65" s="32" t="inlineStr">
        <is>
          <t>House affordability</t>
        </is>
      </c>
      <c r="E65" s="32" t="inlineStr">
        <is>
          <t>Reads the client's existing data</t>
        </is>
      </c>
      <c r="F65" s="32" t="inlineStr">
        <is>
          <t>Secondary</t>
        </is>
      </c>
      <c r="G65" s="32" t="inlineStr">
        <is>
          <t>Later</t>
        </is>
      </c>
      <c r="H65" s="32" t="n"/>
      <c r="I65" s="32" t="n"/>
    </row>
    <row r="66">
      <c r="A66" s="32" t="inlineStr">
        <is>
          <t>X064</t>
        </is>
      </c>
      <c r="B66" s="32" t="inlineStr">
        <is>
          <t>Not started</t>
        </is>
      </c>
      <c r="C66" s="32" t="inlineStr">
        <is>
          <t>Tools</t>
        </is>
      </c>
      <c r="D66" s="32" t="inlineStr">
        <is>
          <t>Car calculator</t>
        </is>
      </c>
      <c r="E66" s="32" t="inlineStr">
        <is>
          <t>Reads the client's existing data</t>
        </is>
      </c>
      <c r="F66" s="32" t="inlineStr">
        <is>
          <t>Secondary</t>
        </is>
      </c>
      <c r="G66" s="32" t="inlineStr">
        <is>
          <t>Later</t>
        </is>
      </c>
      <c r="H66" s="32" t="n"/>
      <c r="I66" s="32" t="n"/>
    </row>
    <row r="67">
      <c r="A67" s="32" t="inlineStr">
        <is>
          <t>X065</t>
        </is>
      </c>
      <c r="B67" s="32" t="inlineStr">
        <is>
          <t>Not started</t>
        </is>
      </c>
      <c r="C67" s="32" t="inlineStr">
        <is>
          <t>Tools</t>
        </is>
      </c>
      <c r="D67" s="32" t="inlineStr">
        <is>
          <t>Emergency fund (Rule of 5)</t>
        </is>
      </c>
      <c r="E67" s="32" t="inlineStr">
        <is>
          <t>Reads the client's existing data</t>
        </is>
      </c>
      <c r="F67" s="32" t="inlineStr">
        <is>
          <t>Secondary</t>
        </is>
      </c>
      <c r="G67" s="32" t="inlineStr">
        <is>
          <t>Now</t>
        </is>
      </c>
      <c r="H67" s="32" t="n"/>
      <c r="I67" s="32" t="n"/>
    </row>
    <row r="68">
      <c r="A68" s="32" t="inlineStr">
        <is>
          <t>X066</t>
        </is>
      </c>
      <c r="B68" s="32" t="inlineStr">
        <is>
          <t>Not started</t>
        </is>
      </c>
      <c r="C68" s="32" t="inlineStr">
        <is>
          <t>Tools</t>
        </is>
      </c>
      <c r="D68" s="32" t="inlineStr">
        <is>
          <t>Windfall waterfall</t>
        </is>
      </c>
      <c r="E68" s="32" t="inlineStr">
        <is>
          <t>Reads the client's existing data</t>
        </is>
      </c>
      <c r="F68" s="32" t="inlineStr">
        <is>
          <t>Secondary</t>
        </is>
      </c>
      <c r="G68" s="32" t="inlineStr">
        <is>
          <t>Later</t>
        </is>
      </c>
      <c r="H68" s="32" t="n"/>
      <c r="I68" s="32" t="n"/>
    </row>
    <row r="69">
      <c r="A69" s="32" t="inlineStr">
        <is>
          <t>X067</t>
        </is>
      </c>
      <c r="B69" s="32" t="inlineStr">
        <is>
          <t>Not started</t>
        </is>
      </c>
      <c r="C69" s="32" t="inlineStr">
        <is>
          <t>Tools</t>
        </is>
      </c>
      <c r="D69" s="32" t="inlineStr">
        <is>
          <t>Life simulator</t>
        </is>
      </c>
      <c r="E69" s="32" t="inlineStr">
        <is>
          <t>Reads the client's existing data</t>
        </is>
      </c>
      <c r="F69" s="32" t="inlineStr">
        <is>
          <t>Secondary</t>
        </is>
      </c>
      <c r="G69" s="32" t="inlineStr">
        <is>
          <t>Later</t>
        </is>
      </c>
      <c r="H69" s="32" t="n"/>
      <c r="I69" s="32" t="n"/>
    </row>
    <row r="70">
      <c r="A70" s="32" t="inlineStr">
        <is>
          <t>X068</t>
        </is>
      </c>
      <c r="B70" s="32" t="inlineStr">
        <is>
          <t>Not started</t>
        </is>
      </c>
      <c r="C70" s="32" t="inlineStr">
        <is>
          <t>Tools</t>
        </is>
      </c>
      <c r="D70" s="32" t="inlineStr">
        <is>
          <t>Credit card library</t>
        </is>
      </c>
      <c r="E70" s="32" t="inlineStr">
        <is>
          <t>Reads the client's existing data</t>
        </is>
      </c>
      <c r="F70" s="32" t="inlineStr">
        <is>
          <t>Secondary</t>
        </is>
      </c>
      <c r="G70" s="32" t="inlineStr">
        <is>
          <t>Later</t>
        </is>
      </c>
      <c r="H70" s="32" t="n"/>
      <c r="I70" s="32" t="n"/>
    </row>
    <row r="71">
      <c r="A71" s="32" t="inlineStr">
        <is>
          <t>X069</t>
        </is>
      </c>
      <c r="B71" s="32" t="inlineStr">
        <is>
          <t>Not started</t>
        </is>
      </c>
      <c r="C71" s="32" t="inlineStr">
        <is>
          <t>Tools</t>
        </is>
      </c>
      <c r="D71" s="32" t="inlineStr">
        <is>
          <t>Student loan decision</t>
        </is>
      </c>
      <c r="E71" s="32" t="inlineStr">
        <is>
          <t>Reads the client's existing data</t>
        </is>
      </c>
      <c r="F71" s="32" t="inlineStr">
        <is>
          <t>Secondary</t>
        </is>
      </c>
      <c r="G71" s="32" t="inlineStr">
        <is>
          <t>Later</t>
        </is>
      </c>
      <c r="H71" s="32" t="n"/>
      <c r="I71" s="32" t="n"/>
    </row>
    <row r="72">
      <c r="A72" s="32" t="inlineStr">
        <is>
          <t>X070</t>
        </is>
      </c>
      <c r="B72" s="32" t="inlineStr">
        <is>
          <t>Not started</t>
        </is>
      </c>
      <c r="C72" s="32" t="inlineStr">
        <is>
          <t>Look and navigation</t>
        </is>
      </c>
      <c r="D72" s="32" t="inlineStr">
        <is>
          <t>Five main tabs plus sub-tabs</t>
        </is>
      </c>
      <c r="E72" s="32" t="inlineStr">
        <is>
          <t>Spending is its own tab; breadcrumb starts with the client name</t>
        </is>
      </c>
      <c r="F72" s="32" t="inlineStr">
        <is>
          <t>Primary</t>
        </is>
      </c>
      <c r="G72" s="32" t="inlineStr">
        <is>
          <t>Now</t>
        </is>
      </c>
      <c r="H72" s="32" t="n"/>
      <c r="I72" s="32" t="n"/>
    </row>
    <row r="73">
      <c r="A73" s="32" t="inlineStr">
        <is>
          <t>X071</t>
        </is>
      </c>
      <c r="B73" s="32" t="inlineStr">
        <is>
          <t>Not started</t>
        </is>
      </c>
      <c r="C73" s="32" t="inlineStr">
        <is>
          <t>Look and navigation</t>
        </is>
      </c>
      <c r="D73" s="32" t="inlineStr">
        <is>
          <t>Sapphire look</t>
        </is>
      </c>
      <c r="E73" s="32" t="inlineStr">
        <is>
          <t>Sleek, little grey, small lift on hover, style never gets in the way</t>
        </is>
      </c>
      <c r="F73" s="32" t="inlineStr">
        <is>
          <t>Primary</t>
        </is>
      </c>
      <c r="G73" s="32" t="inlineStr">
        <is>
          <t>Now</t>
        </is>
      </c>
      <c r="H73" s="32" t="n"/>
      <c r="I73" s="32" t="n"/>
    </row>
    <row r="74">
      <c r="A74" s="32" t="inlineStr">
        <is>
          <t>X072</t>
        </is>
      </c>
      <c r="B74" s="32" t="inlineStr">
        <is>
          <t>Not started</t>
        </is>
      </c>
      <c r="C74" s="32" t="inlineStr">
        <is>
          <t>Look and navigation</t>
        </is>
      </c>
      <c r="D74" s="32" t="inlineStr">
        <is>
          <t>Strong affordances</t>
        </is>
      </c>
      <c r="E74" s="32" t="inlineStr">
        <is>
          <t>Buttons look like buttons, inputs have visible borders</t>
        </is>
      </c>
      <c r="F74" s="32" t="inlineStr">
        <is>
          <t>Primary</t>
        </is>
      </c>
      <c r="G74" s="32" t="inlineStr">
        <is>
          <t>Now</t>
        </is>
      </c>
      <c r="H74" s="32" t="n"/>
      <c r="I74" s="32" t="n"/>
    </row>
    <row r="75">
      <c r="A75" s="32" t="inlineStr">
        <is>
          <t>X073</t>
        </is>
      </c>
      <c r="B75" s="32" t="inlineStr">
        <is>
          <t>Not started</t>
        </is>
      </c>
      <c r="C75" s="32" t="inlineStr">
        <is>
          <t>Look and navigation</t>
        </is>
      </c>
      <c r="D75" s="32" t="inlineStr">
        <is>
          <t>Collapsed by default</t>
        </is>
      </c>
      <c r="E75" s="32" t="inlineStr">
        <is>
          <t>Slim or expandable wherever possible</t>
        </is>
      </c>
      <c r="F75" s="32" t="inlineStr">
        <is>
          <t>Primary</t>
        </is>
      </c>
      <c r="G75" s="32" t="inlineStr">
        <is>
          <t>Now</t>
        </is>
      </c>
      <c r="H75" s="32" t="n"/>
      <c r="I75" s="32" t="n"/>
    </row>
    <row r="76">
      <c r="A76" s="32" t="inlineStr">
        <is>
          <t>X074</t>
        </is>
      </c>
      <c r="B76" s="32" t="inlineStr">
        <is>
          <t>Not started</t>
        </is>
      </c>
      <c r="C76" s="32" t="inlineStr">
        <is>
          <t>Look and navigation</t>
        </is>
      </c>
      <c r="D76" s="32" t="inlineStr">
        <is>
          <t>Client-perspective copy</t>
        </is>
      </c>
      <c r="E76" s="32" t="inlineStr">
        <is>
          <t>What it means and what to do, never how the app works</t>
        </is>
      </c>
      <c r="F76" s="32" t="inlineStr">
        <is>
          <t>Primary</t>
        </is>
      </c>
      <c r="G76" s="32" t="inlineStr">
        <is>
          <t>Now</t>
        </is>
      </c>
      <c r="H76" s="32" t="n"/>
      <c r="I76" s="32" t="n"/>
    </row>
    <row r="77">
      <c r="A77" s="32" t="inlineStr">
        <is>
          <t>X075</t>
        </is>
      </c>
      <c r="B77" s="32" t="inlineStr">
        <is>
          <t>Not started</t>
        </is>
      </c>
      <c r="C77" s="32" t="inlineStr">
        <is>
          <t>Data</t>
        </is>
      </c>
      <c r="D77" s="32" t="inlineStr">
        <is>
          <t>Export and import</t>
        </is>
      </c>
      <c r="E77" s="32" t="inlineStr">
        <is>
          <t>Versioned JSON with a pre-import snapshot</t>
        </is>
      </c>
      <c r="F77" s="32" t="inlineStr">
        <is>
          <t>Primary</t>
        </is>
      </c>
      <c r="G77" s="32" t="inlineStr">
        <is>
          <t>Now</t>
        </is>
      </c>
      <c r="H77" s="32" t="n"/>
      <c r="I77" s="32" t="n"/>
    </row>
    <row r="78">
      <c r="A78" s="32" t="inlineStr">
        <is>
          <t>X076</t>
        </is>
      </c>
      <c r="B78" s="32" t="inlineStr">
        <is>
          <t>Not started</t>
        </is>
      </c>
      <c r="C78" s="32" t="inlineStr">
        <is>
          <t>Data</t>
        </is>
      </c>
      <c r="D78" s="32" t="inlineStr">
        <is>
          <t>As-of date on every number</t>
        </is>
      </c>
      <c r="E78" s="32" t="inlineStr">
        <is>
          <t>Source and confidence travel with it</t>
        </is>
      </c>
      <c r="F78" s="32" t="inlineStr">
        <is>
          <t>Primary</t>
        </is>
      </c>
      <c r="G78" s="32" t="inlineStr">
        <is>
          <t>Now</t>
        </is>
      </c>
      <c r="H78" s="32" t="n"/>
      <c r="I78" s="32" t="n"/>
    </row>
    <row r="79">
      <c r="A79" s="32" t="inlineStr">
        <is>
          <t>X077</t>
        </is>
      </c>
      <c r="B79" s="32" t="inlineStr">
        <is>
          <t>Not started</t>
        </is>
      </c>
      <c r="C79" s="32" t="inlineStr">
        <is>
          <t>Data</t>
        </is>
      </c>
      <c r="D79" s="32" t="inlineStr">
        <is>
          <t>Couples data model</t>
        </is>
      </c>
      <c r="E79" s="32" t="inlineStr">
        <is>
          <t>Two people natively</t>
        </is>
      </c>
      <c r="F79" s="32" t="inlineStr">
        <is>
          <t>Primary</t>
        </is>
      </c>
      <c r="G79" s="32" t="inlineStr">
        <is>
          <t>Now</t>
        </is>
      </c>
      <c r="H79" s="32" t="n"/>
      <c r="I79" s="32" t="n"/>
    </row>
    <row r="80">
      <c r="A80" s="32" t="inlineStr">
        <is>
          <t>X078</t>
        </is>
      </c>
      <c r="B80" s="32" t="inlineStr">
        <is>
          <t>Not started</t>
        </is>
      </c>
      <c r="C80" s="32" t="inlineStr">
        <is>
          <t>Data</t>
        </is>
      </c>
      <c r="D80" s="32" t="inlineStr">
        <is>
          <t>Client view and comments</t>
        </is>
      </c>
      <c r="E80" s="32" t="inlineStr">
        <is>
          <t>Shared coach and client view</t>
        </is>
      </c>
      <c r="F80" s="32" t="inlineStr">
        <is>
          <t>Tertiary</t>
        </is>
      </c>
      <c r="G80" s="32" t="inlineStr">
        <is>
          <t>Later</t>
        </is>
      </c>
      <c r="H80" s="32" t="n"/>
      <c r="I80" s="32" t="n"/>
    </row>
    <row r="81">
      <c r="A81" s="32" t="inlineStr">
        <is>
          <t>X079</t>
        </is>
      </c>
      <c r="B81" s="32" t="inlineStr">
        <is>
          <t>Not started</t>
        </is>
      </c>
      <c r="C81" s="32" t="inlineStr">
        <is>
          <t>Parked</t>
        </is>
      </c>
      <c r="D81" s="32" t="inlineStr">
        <is>
          <t>Document readers (paystub, 1040)</t>
        </is>
      </c>
      <c r="E81" s="32" t="n"/>
      <c r="F81" s="32" t="inlineStr">
        <is>
          <t>Tertiary</t>
        </is>
      </c>
      <c r="G81" s="32" t="inlineStr">
        <is>
          <t>Parked</t>
        </is>
      </c>
      <c r="H81" s="32" t="n"/>
      <c r="I81" s="32" t="n"/>
    </row>
    <row r="82">
      <c r="A82" s="32" t="inlineStr">
        <is>
          <t>X080</t>
        </is>
      </c>
      <c r="B82" s="32" t="inlineStr">
        <is>
          <t>Not started</t>
        </is>
      </c>
      <c r="C82" s="32" t="inlineStr">
        <is>
          <t>Parked</t>
        </is>
      </c>
      <c r="D82" s="32" t="inlineStr">
        <is>
          <t>Secret wants features (permission to spend, stop-sprinting alert, two-player mode, rehearsal mode)</t>
        </is>
      </c>
      <c r="E82" s="32" t="n"/>
      <c r="F82" s="32" t="inlineStr">
        <is>
          <t>Tertiary</t>
        </is>
      </c>
      <c r="G82" s="32" t="inlineStr">
        <is>
          <t>Parked</t>
        </is>
      </c>
      <c r="H82" s="32" t="n"/>
      <c r="I82" s="32" t="n"/>
    </row>
    <row r="83">
      <c r="A83" s="32" t="inlineStr">
        <is>
          <t>X081</t>
        </is>
      </c>
      <c r="B83" s="32" t="inlineStr">
        <is>
          <t>Not started</t>
        </is>
      </c>
      <c r="C83" s="32" t="inlineStr">
        <is>
          <t>Parked</t>
        </is>
      </c>
      <c r="D83" s="32" t="inlineStr">
        <is>
          <t>Next stage, Eras, dream life</t>
        </is>
      </c>
      <c r="E83" s="32" t="n"/>
      <c r="F83" s="32" t="inlineStr">
        <is>
          <t>Tertiary</t>
        </is>
      </c>
      <c r="G83" s="32" t="inlineStr">
        <is>
          <t>Parked</t>
        </is>
      </c>
      <c r="H83" s="32" t="n"/>
      <c r="I83" s="32" t="n"/>
    </row>
    <row r="84">
      <c r="A84" s="32" t="inlineStr">
        <is>
          <t>X082</t>
        </is>
      </c>
      <c r="B84" s="32" t="inlineStr">
        <is>
          <t>Not started</t>
        </is>
      </c>
      <c r="C84" s="32" t="inlineStr">
        <is>
          <t>Parked</t>
        </is>
      </c>
      <c r="D84" s="32" t="inlineStr">
        <is>
          <t>Curation layer (podcasts, reading)</t>
        </is>
      </c>
      <c r="E84" s="32" t="n"/>
      <c r="F84" s="32" t="inlineStr">
        <is>
          <t>Tertiary</t>
        </is>
      </c>
      <c r="G84" s="32" t="inlineStr">
        <is>
          <t>Parked</t>
        </is>
      </c>
      <c r="H84" s="32" t="n"/>
      <c r="I84" s="32" t="n"/>
    </row>
    <row r="85">
      <c r="A85" s="32" t="inlineStr">
        <is>
          <t>X083</t>
        </is>
      </c>
      <c r="B85" s="32" t="inlineStr">
        <is>
          <t>Not started</t>
        </is>
      </c>
      <c r="C85" s="32" t="inlineStr">
        <is>
          <t>Parked</t>
        </is>
      </c>
      <c r="D85" s="32" t="inlineStr">
        <is>
          <t>Communal money date</t>
        </is>
      </c>
      <c r="E85" s="32" t="n"/>
      <c r="F85" s="32" t="inlineStr">
        <is>
          <t>Tertiary</t>
        </is>
      </c>
      <c r="G85" s="32" t="inlineStr">
        <is>
          <t>Parked</t>
        </is>
      </c>
      <c r="H85" s="32" t="n"/>
      <c r="I85" s="32" t="n"/>
    </row>
    <row r="86">
      <c r="A86" s="32" t="inlineStr">
        <is>
          <t>X084</t>
        </is>
      </c>
      <c r="B86" s="32" t="inlineStr">
        <is>
          <t>Not started</t>
        </is>
      </c>
      <c r="C86" s="32" t="inlineStr">
        <is>
          <t>Parked</t>
        </is>
      </c>
      <c r="D86" s="32" t="inlineStr">
        <is>
          <t>Hamilton or Dante theming</t>
        </is>
      </c>
      <c r="E86" s="32" t="n"/>
      <c r="F86" s="32" t="inlineStr">
        <is>
          <t>Tertiary</t>
        </is>
      </c>
      <c r="G86" s="32" t="inlineStr">
        <is>
          <t>Parked</t>
        </is>
      </c>
      <c r="H86" s="32" t="n"/>
      <c r="I86" s="32" t="n"/>
    </row>
    <row r="87">
      <c r="A87" s="32" t="inlineStr">
        <is>
          <t>X085</t>
        </is>
      </c>
      <c r="B87" s="32" t="inlineStr">
        <is>
          <t>Not started</t>
        </is>
      </c>
      <c r="C87" s="32" t="inlineStr">
        <is>
          <t>Added after review</t>
        </is>
      </c>
      <c r="D87" s="32" t="inlineStr">
        <is>
          <t>Bulk select</t>
        </is>
      </c>
      <c r="E87" s="32" t="inlineStr">
        <is>
          <t>Checkbox per row and Select all; slim bar with duplicate, delete, reset, set status, link to card</t>
        </is>
      </c>
      <c r="F87" s="32" t="inlineStr">
        <is>
          <t>Primary</t>
        </is>
      </c>
      <c r="G87" s="32" t="inlineStr">
        <is>
          <t>Now</t>
        </is>
      </c>
      <c r="H87" s="32" t="n"/>
      <c r="I87" s="32" t="n"/>
    </row>
    <row r="88">
      <c r="A88" s="32" t="inlineStr">
        <is>
          <t>X086</t>
        </is>
      </c>
      <c r="B88" s="32" t="inlineStr">
        <is>
          <t>Not started</t>
        </is>
      </c>
      <c r="C88" s="32" t="inlineStr">
        <is>
          <t>Added after review</t>
        </is>
      </c>
      <c r="D88" s="32" t="inlineStr">
        <is>
          <t>Link bills to a card in one step</t>
        </is>
      </c>
      <c r="E88" s="32" t="inlineStr">
        <is>
          <t>Card buttons (4 or fewer cards) from the bulk bar or More ▸ › Paid with on the row</t>
        </is>
      </c>
      <c r="F88" s="32" t="inlineStr">
        <is>
          <t>Secondary</t>
        </is>
      </c>
      <c r="G88" s="32" t="inlineStr">
        <is>
          <t>Now</t>
        </is>
      </c>
      <c r="H88" s="32" t="n"/>
      <c r="I88" s="32" t="n"/>
    </row>
    <row r="89">
      <c r="A89" s="32" t="inlineStr">
        <is>
          <t>X087</t>
        </is>
      </c>
      <c r="B89" s="32" t="inlineStr">
        <is>
          <t>Not started</t>
        </is>
      </c>
      <c r="C89" s="32" t="inlineStr">
        <is>
          <t>Added after review</t>
        </is>
      </c>
      <c r="D89" s="32" t="inlineStr">
        <is>
          <t>Row actions as small icons</t>
        </is>
      </c>
      <c r="E89" s="32" t="inlineStr">
        <is>
          <t>Duplicate ⧉, reset ↺, delete 🗑 (undo toast) on every multi-item row</t>
        </is>
      </c>
      <c r="F89" s="32" t="inlineStr">
        <is>
          <t>Primary</t>
        </is>
      </c>
      <c r="G89" s="32" t="inlineStr">
        <is>
          <t>Now</t>
        </is>
      </c>
      <c r="H89" s="32" t="n"/>
      <c r="I89" s="32" t="n"/>
    </row>
    <row r="90">
      <c r="A90" s="32" t="inlineStr">
        <is>
          <t>X088</t>
        </is>
      </c>
      <c r="B90" s="32" t="inlineStr">
        <is>
          <t>Not started</t>
        </is>
      </c>
      <c r="C90" s="32" t="inlineStr">
        <is>
          <t>Added after review</t>
        </is>
      </c>
      <c r="D90" s="32" t="inlineStr">
        <is>
          <t>Section reset</t>
        </is>
      </c>
      <c r="E90" s="32" t="inlineStr">
        <is>
          <t>Clear a whole section after a confirm</t>
        </is>
      </c>
      <c r="F90" s="32" t="inlineStr">
        <is>
          <t>Secondary</t>
        </is>
      </c>
      <c r="G90" s="32" t="inlineStr">
        <is>
          <t>Now</t>
        </is>
      </c>
      <c r="H90" s="32" t="n"/>
      <c r="I90" s="32" t="n"/>
    </row>
    <row r="91">
      <c r="A91" s="32" t="inlineStr">
        <is>
          <t>X089</t>
        </is>
      </c>
      <c r="B91" s="32" t="inlineStr">
        <is>
          <t>Not started</t>
        </is>
      </c>
      <c r="C91" s="32" t="inlineStr">
        <is>
          <t>Added after review</t>
        </is>
      </c>
      <c r="D91" s="32" t="inlineStr">
        <is>
          <t>Reset client</t>
        </is>
      </c>
      <c r="E91" s="32" t="inlineStr">
        <is>
          <t>Clear everything after typing the client's name</t>
        </is>
      </c>
      <c r="F91" s="32" t="inlineStr">
        <is>
          <t>Secondary</t>
        </is>
      </c>
      <c r="G91" s="32" t="inlineStr">
        <is>
          <t>Now</t>
        </is>
      </c>
      <c r="H91" s="32" t="n"/>
      <c r="I91" s="32" t="n"/>
    </row>
    <row r="92">
      <c r="A92" s="32" t="inlineStr">
        <is>
          <t>X090</t>
        </is>
      </c>
      <c r="B92" s="32" t="inlineStr">
        <is>
          <t>Not started</t>
        </is>
      </c>
      <c r="C92" s="32" t="inlineStr">
        <is>
          <t>Added after review</t>
        </is>
      </c>
      <c r="D92" s="32" t="inlineStr">
        <is>
          <t>Calendar month grid</t>
        </is>
      </c>
      <c r="E92" s="32" t="inlineStr">
        <is>
          <t>Day cells with income, bill, maybe and win chips plus an end-of-day running balance</t>
        </is>
      </c>
      <c r="F92" s="32" t="inlineStr">
        <is>
          <t>Primary</t>
        </is>
      </c>
      <c r="G92" s="32" t="inlineStr">
        <is>
          <t>Now</t>
        </is>
      </c>
      <c r="H92" s="32" t="n"/>
      <c r="I92" s="32" t="n"/>
    </row>
    <row r="93">
      <c r="A93" s="32" t="inlineStr">
        <is>
          <t>X091</t>
        </is>
      </c>
      <c r="B93" s="32" t="inlineStr">
        <is>
          <t>Not started</t>
        </is>
      </c>
      <c r="C93" s="32" t="inlineStr">
        <is>
          <t>Added after review</t>
        </is>
      </c>
      <c r="D93" s="32" t="inlineStr">
        <is>
          <t>Calendar entries</t>
        </is>
      </c>
      <c r="E93" s="32" t="inlineStr">
        <is>
          <t>Name, amount, in/out/maybe, date, repeats; links to budget line, account and debt</t>
        </is>
      </c>
      <c r="F93" s="32" t="inlineStr">
        <is>
          <t>Primary</t>
        </is>
      </c>
      <c r="G93" s="32" t="inlineStr">
        <is>
          <t>Now</t>
        </is>
      </c>
      <c r="H93" s="32" t="n"/>
      <c r="I93" s="32" t="n"/>
    </row>
    <row r="94">
      <c r="A94" s="32" t="inlineStr">
        <is>
          <t>X092</t>
        </is>
      </c>
      <c r="B94" s="32" t="inlineStr">
        <is>
          <t>Not started</t>
        </is>
      </c>
      <c r="C94" s="32" t="inlineStr">
        <is>
          <t>Added after review</t>
        </is>
      </c>
      <c r="D94" s="32" t="inlineStr">
        <is>
          <t>Low balance warning</t>
        </is>
      </c>
      <c r="E94" s="32" t="inlineStr">
        <is>
          <t>Flags days below a balance you set</t>
        </is>
      </c>
      <c r="F94" s="32" t="inlineStr">
        <is>
          <t>Secondary</t>
        </is>
      </c>
      <c r="G94" s="32" t="inlineStr">
        <is>
          <t>Now</t>
        </is>
      </c>
      <c r="H94" s="32" t="n"/>
      <c r="I94" s="32" t="n"/>
    </row>
    <row r="95">
      <c r="A95" s="32" t="inlineStr">
        <is>
          <t>X093</t>
        </is>
      </c>
      <c r="B95" s="32" t="inlineStr">
        <is>
          <t>Not started</t>
        </is>
      </c>
      <c r="C95" s="32" t="inlineStr">
        <is>
          <t>Added after review</t>
        </is>
      </c>
      <c r="D95" s="32" t="inlineStr">
        <is>
          <t>Auto due dates</t>
        </is>
      </c>
      <c r="E95" s="32" t="inlineStr">
        <is>
          <t>Card and loan due days appear on the calendar</t>
        </is>
      </c>
      <c r="F95" s="32" t="inlineStr">
        <is>
          <t>Secondary</t>
        </is>
      </c>
      <c r="G95" s="32" t="inlineStr">
        <is>
          <t>Now</t>
        </is>
      </c>
      <c r="H95" s="32" t="n"/>
      <c r="I95" s="32" t="n"/>
    </row>
    <row r="96">
      <c r="A96" s="32" t="inlineStr">
        <is>
          <t>X094</t>
        </is>
      </c>
      <c r="B96" s="32" t="inlineStr">
        <is>
          <t>Not started</t>
        </is>
      </c>
      <c r="C96" s="32" t="inlineStr">
        <is>
          <t>Added after review</t>
        </is>
      </c>
      <c r="D96" s="32" t="inlineStr">
        <is>
          <t>Drag to reschedule</t>
        </is>
      </c>
      <c r="E96" s="32" t="inlineStr">
        <is>
          <t>Move a chip to another day</t>
        </is>
      </c>
      <c r="F96" s="32" t="inlineStr">
        <is>
          <t>Secondary</t>
        </is>
      </c>
      <c r="G96" s="32" t="inlineStr">
        <is>
          <t>Now</t>
        </is>
      </c>
      <c r="H96" s="32" t="n"/>
      <c r="I96" s="32" t="n"/>
    </row>
    <row r="97">
      <c r="A97" s="32" t="inlineStr">
        <is>
          <t>X095</t>
        </is>
      </c>
      <c r="B97" s="32" t="inlineStr">
        <is>
          <t>Not started</t>
        </is>
      </c>
      <c r="C97" s="32" t="inlineStr">
        <is>
          <t>Added after review</t>
        </is>
      </c>
      <c r="D97" s="32" t="inlineStr">
        <is>
          <t>Got it / Paid</t>
        </is>
      </c>
      <c r="E97" s="32" t="inlineStr">
        <is>
          <t>Planned or maybe becomes actual on the real date</t>
        </is>
      </c>
      <c r="F97" s="32" t="inlineStr">
        <is>
          <t>Tertiary</t>
        </is>
      </c>
      <c r="G97" s="32" t="inlineStr">
        <is>
          <t>Now</t>
        </is>
      </c>
      <c r="H97" s="32" t="n"/>
      <c r="I97" s="32" t="n"/>
    </row>
    <row r="98">
      <c r="A98" s="32" t="inlineStr">
        <is>
          <t>X096</t>
        </is>
      </c>
      <c r="B98" s="32" t="inlineStr">
        <is>
          <t>Not started</t>
        </is>
      </c>
      <c r="C98" s="32" t="inlineStr">
        <is>
          <t>Added after review</t>
        </is>
      </c>
      <c r="D98" s="32" t="inlineStr">
        <is>
          <t>Wins on the calendar</t>
        </is>
      </c>
      <c r="E98" s="32" t="inlineStr">
        <is>
          <t>Milestones, payoffs, raises as dated chips</t>
        </is>
      </c>
      <c r="F98" s="32" t="inlineStr">
        <is>
          <t>Tertiary</t>
        </is>
      </c>
      <c r="G98" s="32" t="inlineStr">
        <is>
          <t>Now</t>
        </is>
      </c>
      <c r="H98" s="32" t="n"/>
      <c r="I98" s="32" t="n"/>
    </row>
    <row r="99">
      <c r="A99" s="32" t="inlineStr">
        <is>
          <t>X097</t>
        </is>
      </c>
      <c r="B99" s="32" t="inlineStr">
        <is>
          <t>Not started</t>
        </is>
      </c>
      <c r="C99" s="32" t="inlineStr">
        <is>
          <t>Added after review</t>
        </is>
      </c>
      <c r="D99" s="32" t="inlineStr">
        <is>
          <t>Fast Track accuracy target</t>
        </is>
      </c>
      <c r="E99" s="32" t="inlineStr">
        <is>
          <t>Within $100 of the full-detail answer and enough to turn on every lens</t>
        </is>
      </c>
      <c r="F99" s="32" t="inlineStr">
        <is>
          <t>Primary</t>
        </is>
      </c>
      <c r="G99" s="32" t="inlineStr">
        <is>
          <t>Now</t>
        </is>
      </c>
      <c r="H99" s="32" t="n"/>
      <c r="I99" s="32" t="n"/>
    </row>
    <row r="100">
      <c r="A100" s="32" t="inlineStr">
        <is>
          <t>X098</t>
        </is>
      </c>
      <c r="B100" s="32" t="inlineStr">
        <is>
          <t>Not started</t>
        </is>
      </c>
      <c r="C100" s="32" t="inlineStr">
        <is>
          <t>Added after review</t>
        </is>
      </c>
      <c r="D100" s="32" t="inlineStr">
        <is>
          <t>Visuals panel on Numbers</t>
        </is>
      </c>
      <c r="E100" s="32" t="inlineStr">
        <is>
          <t>Live charts per sub-tab with a chart picker and placement options</t>
        </is>
      </c>
      <c r="F100" s="32" t="inlineStr">
        <is>
          <t>Primary</t>
        </is>
      </c>
      <c r="G100" s="32" t="inlineStr">
        <is>
          <t>Now</t>
        </is>
      </c>
      <c r="H100" s="32" t="n"/>
      <c r="I100" s="32" t="n"/>
    </row>
    <row r="101">
      <c r="A101" s="32" t="inlineStr">
        <is>
          <t>X099</t>
        </is>
      </c>
      <c r="B101" s="32" t="inlineStr">
        <is>
          <t>Not started</t>
        </is>
      </c>
      <c r="C101" s="32" t="inlineStr">
        <is>
          <t>Added after review</t>
        </is>
      </c>
      <c r="D101" s="32" t="inlineStr">
        <is>
          <t>Top 4 then Other</t>
        </is>
      </c>
      <c r="E101" s="32" t="inlineStr">
        <is>
          <t>Pickers show the 4 most common types, Other opens the rest with search</t>
        </is>
      </c>
      <c r="F101" s="32" t="inlineStr">
        <is>
          <t>Primary</t>
        </is>
      </c>
      <c r="G101" s="32" t="inlineStr">
        <is>
          <t>Now</t>
        </is>
      </c>
      <c r="H101" s="32" t="n"/>
      <c r="I101" s="32" t="n"/>
    </row>
    <row r="102">
      <c r="A102" s="32" t="inlineStr">
        <is>
          <t>X100</t>
        </is>
      </c>
      <c r="B102" s="32" t="inlineStr">
        <is>
          <t>Not started</t>
        </is>
      </c>
      <c r="C102" s="32" t="inlineStr">
        <is>
          <t>Added after review</t>
        </is>
      </c>
      <c r="D102" s="32" t="inlineStr">
        <is>
          <t>Gated lines</t>
        </is>
      </c>
      <c r="E102" s="32" t="inlineStr">
        <is>
          <t>Car, pets, kids and HSA/FSA lines appear only when the profile confirms them</t>
        </is>
      </c>
      <c r="F102" s="32" t="inlineStr">
        <is>
          <t>Primary</t>
        </is>
      </c>
      <c r="G102" s="32" t="inlineStr">
        <is>
          <t>Now</t>
        </is>
      </c>
      <c r="H102" s="32" t="n"/>
      <c r="I102" s="32" t="n"/>
    </row>
    <row r="103">
      <c r="A103" s="32" t="inlineStr">
        <is>
          <t>X101</t>
        </is>
      </c>
      <c r="B103" s="32" t="inlineStr">
        <is>
          <t>Not started</t>
        </is>
      </c>
      <c r="C103" s="32" t="inlineStr">
        <is>
          <t>Added after review</t>
        </is>
      </c>
      <c r="D103" s="32" t="inlineStr">
        <is>
          <t>Covered / shared on every Needs line</t>
        </is>
      </c>
      <c r="E103" s="32" t="inlineStr">
        <is>
          <t>Included in rent, covered by whom and how much, my share, split by count, N/A, should-have</t>
        </is>
      </c>
      <c r="F103" s="32" t="inlineStr">
        <is>
          <t>Primary</t>
        </is>
      </c>
      <c r="G103" s="32" t="inlineStr">
        <is>
          <t>Now</t>
        </is>
      </c>
      <c r="H103" s="32" t="n"/>
      <c r="I103" s="32" t="n"/>
    </row>
    <row r="104">
      <c r="A104" s="32" t="inlineStr">
        <is>
          <t>X102</t>
        </is>
      </c>
      <c r="B104" s="32" t="inlineStr">
        <is>
          <t>Not started</t>
        </is>
      </c>
      <c r="C104" s="32" t="inlineStr">
        <is>
          <t>Added after review</t>
        </is>
      </c>
      <c r="D104" s="32" t="inlineStr">
        <is>
          <t>Support received total</t>
        </is>
      </c>
      <c r="E104" s="32" t="inlineStr">
        <is>
          <t>How much of the budget others cover</t>
        </is>
      </c>
      <c r="F104" s="32" t="inlineStr">
        <is>
          <t>Secondary</t>
        </is>
      </c>
      <c r="G104" s="32" t="inlineStr">
        <is>
          <t>Now</t>
        </is>
      </c>
      <c r="H104" s="32" t="n"/>
      <c r="I104" s="32" t="n"/>
    </row>
    <row r="105">
      <c r="A105" s="32" t="inlineStr">
        <is>
          <t>X103</t>
        </is>
      </c>
      <c r="B105" s="32" t="inlineStr">
        <is>
          <t>Not started</t>
        </is>
      </c>
      <c r="C105" s="32" t="inlineStr">
        <is>
          <t>Added after review</t>
        </is>
      </c>
      <c r="D105" s="32" t="inlineStr">
        <is>
          <t>Why now</t>
        </is>
      </c>
      <c r="E105" s="32" t="inlineStr">
        <is>
          <t>Opening questions in the client's words</t>
        </is>
      </c>
      <c r="F105" s="32" t="inlineStr">
        <is>
          <t>Primary</t>
        </is>
      </c>
      <c r="G105" s="32" t="inlineStr">
        <is>
          <t>Now</t>
        </is>
      </c>
      <c r="H105" s="32" t="n"/>
      <c r="I105" s="32" t="n"/>
    </row>
    <row r="106">
      <c r="A106" s="32" t="inlineStr">
        <is>
          <t>X104</t>
        </is>
      </c>
      <c r="B106" s="32" t="inlineStr">
        <is>
          <t>Not started</t>
        </is>
      </c>
      <c r="C106" s="32" t="inlineStr">
        <is>
          <t>Added after review</t>
        </is>
      </c>
      <c r="D106" s="32" t="inlineStr">
        <is>
          <t>Parking lot</t>
        </is>
      </c>
      <c r="E106" s="32" t="inlineStr">
        <is>
          <t>Always-visible quick notes</t>
        </is>
      </c>
      <c r="F106" s="32" t="inlineStr">
        <is>
          <t>Primary</t>
        </is>
      </c>
      <c r="G106" s="32" t="inlineStr">
        <is>
          <t>Now</t>
        </is>
      </c>
      <c r="H106" s="32" t="n"/>
      <c r="I106" s="32" t="n"/>
    </row>
    <row r="107">
      <c r="A107" s="32" t="inlineStr">
        <is>
          <t>X105</t>
        </is>
      </c>
      <c r="B107" s="32" t="inlineStr">
        <is>
          <t>Not started</t>
        </is>
      </c>
      <c r="C107" s="32" t="inlineStr">
        <is>
          <t>Added after review</t>
        </is>
      </c>
      <c r="D107" s="32" t="inlineStr">
        <is>
          <t>Find any field</t>
        </is>
      </c>
      <c r="E107" s="32" t="inlineStr">
        <is>
          <t>Search in the top bar that jumps to a field</t>
        </is>
      </c>
      <c r="F107" s="32" t="inlineStr">
        <is>
          <t>Primary</t>
        </is>
      </c>
      <c r="G107" s="32" t="inlineStr">
        <is>
          <t>Now</t>
        </is>
      </c>
      <c r="H107" s="32" t="n"/>
      <c r="I107" s="32" t="n"/>
    </row>
    <row r="108">
      <c r="A108" s="32" t="inlineStr">
        <is>
          <t>X106</t>
        </is>
      </c>
      <c r="B108" s="32" t="inlineStr">
        <is>
          <t>Not started</t>
        </is>
      </c>
      <c r="C108" s="32" t="inlineStr">
        <is>
          <t>Added after review</t>
        </is>
      </c>
      <c r="D108" s="32" t="inlineStr">
        <is>
          <t>Client view</t>
        </is>
      </c>
      <c r="E108" s="32" t="inlineStr">
        <is>
          <t>Screen-share mode hiding coach-only items</t>
        </is>
      </c>
      <c r="F108" s="32" t="inlineStr">
        <is>
          <t>Primary</t>
        </is>
      </c>
      <c r="G108" s="32" t="inlineStr">
        <is>
          <t>Now</t>
        </is>
      </c>
      <c r="H108" s="32" t="n"/>
      <c r="I108" s="32" t="n"/>
    </row>
    <row r="109">
      <c r="A109" s="32" t="inlineStr">
        <is>
          <t>X107</t>
        </is>
      </c>
      <c r="B109" s="32" t="inlineStr">
        <is>
          <t>Not started</t>
        </is>
      </c>
      <c r="C109" s="32" t="inlineStr">
        <is>
          <t>Added after review</t>
        </is>
      </c>
      <c r="D109" s="32" t="inlineStr">
        <is>
          <t>Other row everywhere</t>
        </is>
      </c>
      <c r="E109" s="32" t="inlineStr">
        <is>
          <t>Free-form row in every section</t>
        </is>
      </c>
      <c r="F109" s="32" t="inlineStr">
        <is>
          <t>Primary</t>
        </is>
      </c>
      <c r="G109" s="32" t="inlineStr">
        <is>
          <t>Now</t>
        </is>
      </c>
      <c r="H109" s="32" t="n"/>
      <c r="I109" s="32" t="n"/>
    </row>
    <row r="110">
      <c r="A110" s="32" t="inlineStr">
        <is>
          <t>X108</t>
        </is>
      </c>
      <c r="B110" s="32" t="inlineStr">
        <is>
          <t>Not started</t>
        </is>
      </c>
      <c r="C110" s="32" t="inlineStr">
        <is>
          <t>Added after review</t>
        </is>
      </c>
      <c r="D110" s="32" t="inlineStr">
        <is>
          <t>Irregular costs walk-through</t>
        </is>
      </c>
      <c r="E110" s="32" t="inlineStr">
        <is>
          <t>Prompts each common yearly cost</t>
        </is>
      </c>
      <c r="F110" s="32" t="inlineStr">
        <is>
          <t>Primary</t>
        </is>
      </c>
      <c r="G110" s="32" t="inlineStr">
        <is>
          <t>Now</t>
        </is>
      </c>
      <c r="H110" s="32" t="n"/>
      <c r="I110" s="32" t="n"/>
    </row>
    <row r="111">
      <c r="A111" s="32" t="inlineStr">
        <is>
          <t>X109</t>
        </is>
      </c>
      <c r="B111" s="32" t="inlineStr">
        <is>
          <t>Not started</t>
        </is>
      </c>
      <c r="C111" s="32" t="inlineStr">
        <is>
          <t>Added after review</t>
        </is>
      </c>
      <c r="D111" s="32" t="inlineStr">
        <is>
          <t>Variable income</t>
        </is>
      </c>
      <c r="E111" s="32" t="inlineStr">
        <is>
          <t>12-month, typical, lowest, tax set-aside</t>
        </is>
      </c>
      <c r="F111" s="32" t="inlineStr">
        <is>
          <t>Primary</t>
        </is>
      </c>
      <c r="G111" s="32" t="inlineStr">
        <is>
          <t>Now</t>
        </is>
      </c>
      <c r="H111" s="32" t="n"/>
      <c r="I111" s="32" t="n"/>
    </row>
    <row r="112">
      <c r="A112" s="32" t="inlineStr">
        <is>
          <t>X110</t>
        </is>
      </c>
      <c r="B112" s="32" t="inlineStr">
        <is>
          <t>Not started</t>
        </is>
      </c>
      <c r="C112" s="32" t="inlineStr">
        <is>
          <t>Added after review</t>
        </is>
      </c>
      <c r="D112" s="32" t="inlineStr">
        <is>
          <t>Upcoming events list</t>
        </is>
      </c>
      <c r="E112" s="32" t="inlineStr">
        <is>
          <t>Next 12 months, feeds calendar and set-asides</t>
        </is>
      </c>
      <c r="F112" s="32" t="inlineStr">
        <is>
          <t>Secondary</t>
        </is>
      </c>
      <c r="G112" s="32" t="inlineStr">
        <is>
          <t>Now</t>
        </is>
      </c>
      <c r="H112" s="32" t="n"/>
      <c r="I112" s="32" t="n"/>
    </row>
    <row r="113">
      <c r="A113" s="32" t="inlineStr">
        <is>
          <t>X111</t>
        </is>
      </c>
      <c r="B113" s="32" t="inlineStr">
        <is>
          <t>Not started</t>
        </is>
      </c>
      <c r="C113" s="32" t="inlineStr">
        <is>
          <t>Added after review</t>
        </is>
      </c>
      <c r="D113" s="32" t="inlineStr">
        <is>
          <t>Pre-call form screen</t>
        </is>
      </c>
      <c r="E113" s="32" t="inlineStr">
        <is>
          <t>Client-facing tap-only link</t>
        </is>
      </c>
      <c r="F113" s="32" t="inlineStr">
        <is>
          <t>Primary</t>
        </is>
      </c>
      <c r="G113" s="32" t="inlineStr">
        <is>
          <t>Now</t>
        </is>
      </c>
      <c r="H113" s="32" t="n"/>
      <c r="I113" s="32" t="n"/>
    </row>
    <row r="114">
      <c r="A114" s="32" t="inlineStr">
        <is>
          <t>X112</t>
        </is>
      </c>
      <c r="B114" s="32" t="inlineStr">
        <is>
          <t>Not started</t>
        </is>
      </c>
      <c r="C114" s="32" t="inlineStr">
        <is>
          <t>Added after review</t>
        </is>
      </c>
      <c r="D114" s="32" t="inlineStr">
        <is>
          <t>Discovery table screen</t>
        </is>
      </c>
      <c r="E114" s="32" t="inlineStr">
        <is>
          <t>Creates the client and fills the map</t>
        </is>
      </c>
      <c r="F114" s="32" t="inlineStr">
        <is>
          <t>Primary</t>
        </is>
      </c>
      <c r="G114" s="32" t="inlineStr">
        <is>
          <t>Now</t>
        </is>
      </c>
      <c r="H114" s="32" t="n"/>
      <c r="I114" s="32" t="n"/>
    </row>
    <row r="115">
      <c r="A115" s="32" t="inlineStr">
        <is>
          <t>X113</t>
        </is>
      </c>
      <c r="B115" s="32" t="inlineStr">
        <is>
          <t>Not started</t>
        </is>
      </c>
      <c r="C115" s="32" t="inlineStr">
        <is>
          <t>Added after review</t>
        </is>
      </c>
      <c r="D115" s="32" t="inlineStr">
        <is>
          <t>Prep view</t>
        </is>
      </c>
      <c r="E115" s="32" t="inlineStr">
        <is>
          <t>Since last session, open homework, due checks</t>
        </is>
      </c>
      <c r="F115" s="32" t="inlineStr">
        <is>
          <t>Secondary</t>
        </is>
      </c>
      <c r="G115" s="32" t="inlineStr">
        <is>
          <t>Now</t>
        </is>
      </c>
      <c r="H115" s="32" t="n"/>
      <c r="I115" s="32" t="n"/>
    </row>
    <row r="116">
      <c r="A116" s="32" t="inlineStr">
        <is>
          <t>X114</t>
        </is>
      </c>
      <c r="B116" s="32" t="inlineStr">
        <is>
          <t>Not started</t>
        </is>
      </c>
      <c r="C116" s="32" t="inlineStr">
        <is>
          <t>Added after review</t>
        </is>
      </c>
      <c r="D116" s="32" t="inlineStr">
        <is>
          <t>Protection tab</t>
        </is>
      </c>
      <c r="E116" s="32" t="inlineStr">
        <is>
          <t>Insurance basics with gap to-dos</t>
        </is>
      </c>
      <c r="F116" s="32" t="inlineStr">
        <is>
          <t>Secondary</t>
        </is>
      </c>
      <c r="G116" s="32" t="inlineStr">
        <is>
          <t>Now</t>
        </is>
      </c>
      <c r="H116" s="32" t="n"/>
      <c r="I116" s="32" t="n"/>
    </row>
    <row r="117">
      <c r="A117" s="32" t="inlineStr">
        <is>
          <t>X115</t>
        </is>
      </c>
      <c r="B117" s="32" t="inlineStr">
        <is>
          <t>Not started</t>
        </is>
      </c>
      <c r="C117" s="32" t="inlineStr">
        <is>
          <t>Added after review</t>
        </is>
      </c>
      <c r="D117" s="32" t="inlineStr">
        <is>
          <t>Session snapshot</t>
        </is>
      </c>
      <c r="E117" s="32" t="inlineStr">
        <is>
          <t>Freeze numbers each session and compare</t>
        </is>
      </c>
      <c r="F117" s="32" t="inlineStr">
        <is>
          <t>Secondary</t>
        </is>
      </c>
      <c r="G117" s="32" t="inlineStr">
        <is>
          <t>Now</t>
        </is>
      </c>
      <c r="H117" s="32" t="n"/>
      <c r="I117" s="32" t="n"/>
    </row>
    <row r="118">
      <c r="A118" s="32" t="inlineStr">
        <is>
          <t>X116</t>
        </is>
      </c>
      <c r="B118" s="32" t="inlineStr">
        <is>
          <t>Not started</t>
        </is>
      </c>
      <c r="C118" s="32" t="inlineStr">
        <is>
          <t>Added after review</t>
        </is>
      </c>
      <c r="D118" s="32" t="inlineStr">
        <is>
          <t>Send summary</t>
        </is>
      </c>
      <c r="E118" s="32" t="inlineStr">
        <is>
          <t>One-pager plus homework ready to email</t>
        </is>
      </c>
      <c r="F118" s="32" t="inlineStr">
        <is>
          <t>Secondary</t>
        </is>
      </c>
      <c r="G118" s="32" t="inlineStr">
        <is>
          <t>Now</t>
        </is>
      </c>
      <c r="H118" s="32" t="n"/>
      <c r="I118" s="32" t="n"/>
    </row>
    <row r="119">
      <c r="A119" s="32" t="inlineStr">
        <is>
          <t>X117</t>
        </is>
      </c>
      <c r="B119" s="32" t="inlineStr">
        <is>
          <t>Not started</t>
        </is>
      </c>
      <c r="C119" s="32" t="inlineStr">
        <is>
          <t>Added after review</t>
        </is>
      </c>
      <c r="D119" s="32" t="inlineStr">
        <is>
          <t>Private and shared notes</t>
        </is>
      </c>
      <c r="E119" s="32" t="inlineStr">
        <is>
          <t>Two note boxes</t>
        </is>
      </c>
      <c r="F119" s="32" t="inlineStr">
        <is>
          <t>Secondary</t>
        </is>
      </c>
      <c r="G119" s="32" t="inlineStr">
        <is>
          <t>Now</t>
        </is>
      </c>
      <c r="H119" s="32" t="n"/>
      <c r="I119" s="32" t="n"/>
    </row>
    <row r="120">
      <c r="A120" s="32" t="inlineStr">
        <is>
          <t>X118</t>
        </is>
      </c>
      <c r="B120" s="32" t="inlineStr">
        <is>
          <t>Not started</t>
        </is>
      </c>
      <c r="C120" s="32" t="inlineStr">
        <is>
          <t>Added after review</t>
        </is>
      </c>
      <c r="D120" s="32" t="inlineStr">
        <is>
          <t>Package tracking</t>
        </is>
      </c>
      <c r="E120" s="32" t="inlineStr">
        <is>
          <t>Session count, next date, status</t>
        </is>
      </c>
      <c r="F120" s="32" t="inlineStr">
        <is>
          <t>Secondary</t>
        </is>
      </c>
      <c r="G120" s="32" t="inlineStr">
        <is>
          <t>Now</t>
        </is>
      </c>
      <c r="H120" s="32" t="n"/>
      <c r="I120" s="32" t="n"/>
    </row>
    <row r="121">
      <c r="A121" s="32" t="inlineStr">
        <is>
          <t>X119</t>
        </is>
      </c>
      <c r="B121" s="32" t="inlineStr">
        <is>
          <t>Not started</t>
        </is>
      </c>
      <c r="C121" s="32" t="inlineStr">
        <is>
          <t>Added after review</t>
        </is>
      </c>
      <c r="D121" s="32" t="inlineStr">
        <is>
          <t>Autosave and unsaved warning</t>
        </is>
      </c>
      <c r="E121" s="32" t="inlineStr">
        <is>
          <t>Never lose a session</t>
        </is>
      </c>
      <c r="F121" s="32" t="inlineStr">
        <is>
          <t>Primary</t>
        </is>
      </c>
      <c r="G121" s="32" t="inlineStr">
        <is>
          <t>Now</t>
        </is>
      </c>
      <c r="H121" s="32" t="n"/>
      <c r="I121" s="32" t="n"/>
    </row>
    <row r="122">
      <c r="A122" s="32" t="inlineStr">
        <is>
          <t>X120</t>
        </is>
      </c>
      <c r="B122" s="32" t="inlineStr">
        <is>
          <t>Not started</t>
        </is>
      </c>
      <c r="C122" s="32" t="inlineStr">
        <is>
          <t>Added after review</t>
        </is>
      </c>
      <c r="D122" s="32" t="inlineStr">
        <is>
          <t>Disclaimer</t>
        </is>
      </c>
      <c r="E122" s="32" t="inlineStr">
        <is>
          <t>On one-pager and pre-call form</t>
        </is>
      </c>
      <c r="F122" s="32" t="inlineStr">
        <is>
          <t>Secondary</t>
        </is>
      </c>
      <c r="G122" s="32" t="inlineStr">
        <is>
          <t>Now</t>
        </is>
      </c>
      <c r="H122" s="32" t="n"/>
      <c r="I122" s="32" t="n"/>
    </row>
  </sheetData>
  <autoFilter ref="A2:I122"/>
  <mergeCells count="1">
    <mergeCell ref="A1:I1"/>
  </mergeCells>
  <dataValidations count="3">
    <dataValidation sqref="B3:B2000" showDropDown="0" showInputMessage="0" showErrorMessage="0" allowBlank="1" type="list">
      <formula1>"Not started,Spec'd,Built,Tested"</formula1>
    </dataValidation>
    <dataValidation sqref="F3:F2000" showDropDown="0" showInputMessage="0" showErrorMessage="0" allowBlank="1" type="list">
      <formula1>"Primary,Secondary,Tertiary"</formula1>
    </dataValidation>
    <dataValidation sqref="G3:G2000" showDropDown="0" showInputMessage="0" showErrorMessage="0" allowBlank="1" type="list">
      <formula1>"Now,Later,Parked"</formula1>
    </dataValidation>
  </dataValidation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29"/>
  <sheetViews>
    <sheetView workbookViewId="0">
      <pane ySplit="2" topLeftCell="A3" activePane="bottomLeft" state="frozen"/>
      <selection pane="bottomLeft" activeCell="A1" sqref="A1"/>
    </sheetView>
  </sheetViews>
  <sheetFormatPr baseColWidth="8" defaultRowHeight="15"/>
  <cols>
    <col width="16" customWidth="1" min="1" max="1"/>
    <col width="30" customWidth="1" min="2" max="2"/>
    <col width="80" customWidth="1" min="3" max="3"/>
  </cols>
  <sheetData>
    <row r="1" ht="28" customHeight="1">
      <c r="A1" s="1" t="inlineStr">
        <is>
          <t>What every tag means</t>
        </is>
      </c>
    </row>
    <row r="2">
      <c r="A2" s="3" t="inlineStr">
        <is>
          <t>Tag</t>
        </is>
      </c>
      <c r="B2" s="3" t="inlineStr">
        <is>
          <t>Value</t>
        </is>
      </c>
      <c r="C2" s="3" t="inlineStr">
        <is>
          <t>Meaning</t>
        </is>
      </c>
    </row>
    <row r="3">
      <c r="A3" s="32" t="inlineStr">
        <is>
          <t>Layer</t>
        </is>
      </c>
      <c r="B3" s="32" t="inlineStr">
        <is>
          <t>Primary</t>
        </is>
      </c>
      <c r="C3" s="32" t="inlineStr">
        <is>
          <t>Shows on the first line of the row. Needed for the core metrics</t>
        </is>
      </c>
    </row>
    <row r="4">
      <c r="A4" s="32" t="inlineStr">
        <is>
          <t>Layer</t>
        </is>
      </c>
      <c r="B4" s="32" t="inlineStr">
        <is>
          <t>Secondary</t>
        </is>
      </c>
      <c r="C4" s="32" t="inlineStr">
        <is>
          <t>Behind the caret. Asked in session 1 if time allows</t>
        </is>
      </c>
    </row>
    <row r="5">
      <c r="A5" s="32" t="inlineStr">
        <is>
          <t>Layer</t>
        </is>
      </c>
      <c r="B5" s="32" t="inlineStr">
        <is>
          <t>Tertiary</t>
        </is>
      </c>
      <c r="C5" s="32" t="inlineStr">
        <is>
          <t>Deep detail. Session 2+ or homework</t>
        </is>
      </c>
    </row>
    <row r="6">
      <c r="A6" s="32" t="inlineStr">
        <is>
          <t>Stage</t>
        </is>
      </c>
      <c r="B6" s="32" t="inlineStr">
        <is>
          <t>Pre-call</t>
        </is>
      </c>
      <c r="C6" s="32" t="inlineStr">
        <is>
          <t>Client fills before the onboarding call (tap only)</t>
        </is>
      </c>
    </row>
    <row r="7">
      <c r="A7" s="32" t="inlineStr">
        <is>
          <t>Stage</t>
        </is>
      </c>
      <c r="B7" s="32" t="inlineStr">
        <is>
          <t>Discovery</t>
        </is>
      </c>
      <c r="C7" s="32" t="inlineStr">
        <is>
          <t>Sales call numbers</t>
        </is>
      </c>
    </row>
    <row r="8">
      <c r="A8" s="32" t="inlineStr">
        <is>
          <t>Stage</t>
        </is>
      </c>
      <c r="B8" s="32" t="inlineStr">
        <is>
          <t>Fast Track</t>
        </is>
      </c>
      <c r="C8" s="32" t="inlineStr">
        <is>
          <t>The 5-minute core: enough for net worth, savings rate and an FI date</t>
        </is>
      </c>
    </row>
    <row r="9">
      <c r="A9" s="32" t="inlineStr">
        <is>
          <t>Stage</t>
        </is>
      </c>
      <c r="B9" s="32" t="inlineStr">
        <is>
          <t>Session 1</t>
        </is>
      </c>
      <c r="C9" s="32" t="inlineStr">
        <is>
          <t>Worked through together, you driving</t>
        </is>
      </c>
    </row>
    <row r="10">
      <c r="A10" s="32" t="inlineStr">
        <is>
          <t>Stage</t>
        </is>
      </c>
      <c r="B10" s="32" t="inlineStr">
        <is>
          <t>Session 2+</t>
        </is>
      </c>
      <c r="C10" s="32" t="inlineStr">
        <is>
          <t>Later sessions or deeper passes</t>
        </is>
      </c>
    </row>
    <row r="11">
      <c r="A11" s="32" t="inlineStr">
        <is>
          <t>Stage</t>
        </is>
      </c>
      <c r="B11" s="32" t="inlineStr">
        <is>
          <t>Monthly</t>
        </is>
      </c>
      <c r="C11" s="32" t="inlineStr">
        <is>
          <t>Money date and month-end close</t>
        </is>
      </c>
    </row>
    <row r="12">
      <c r="A12" s="32" t="inlineStr">
        <is>
          <t>Stage</t>
        </is>
      </c>
      <c r="B12" s="32" t="inlineStr">
        <is>
          <t>Computed</t>
        </is>
      </c>
      <c r="C12" s="32" t="inlineStr">
        <is>
          <t>Never asked; the app works it out</t>
        </is>
      </c>
    </row>
    <row r="13">
      <c r="A13" s="32" t="inlineStr">
        <is>
          <t>Stage</t>
        </is>
      </c>
      <c r="B13" s="32" t="inlineStr">
        <is>
          <t>Later / Parked</t>
        </is>
      </c>
      <c r="C13" s="32" t="inlineStr">
        <is>
          <t>Not in the current build</t>
        </is>
      </c>
    </row>
    <row r="14">
      <c r="A14" s="32" t="inlineStr">
        <is>
          <t>Confidence</t>
        </is>
      </c>
      <c r="B14" s="32" t="inlineStr">
        <is>
          <t>Know it</t>
        </is>
      </c>
      <c r="C14" s="32" t="inlineStr">
        <is>
          <t>Exact number</t>
        </is>
      </c>
    </row>
    <row r="15">
      <c r="A15" s="32" t="inlineStr">
        <is>
          <t>Confidence</t>
        </is>
      </c>
      <c r="B15" s="32" t="inlineStr">
        <is>
          <t>Roughly</t>
        </is>
      </c>
      <c r="C15" s="32" t="inlineStr">
        <is>
          <t>Counts as done, flagged, gets a next check date</t>
        </is>
      </c>
    </row>
    <row r="16">
      <c r="A16" s="32" t="inlineStr">
        <is>
          <t>Confidence</t>
        </is>
      </c>
      <c r="B16" s="32" t="inlineStr">
        <is>
          <t>Not sure</t>
        </is>
      </c>
      <c r="C16" s="32" t="inlineStr">
        <is>
          <t>Typical value filled in and labeled Guess</t>
        </is>
      </c>
    </row>
    <row r="17">
      <c r="A17" s="32" t="inlineStr">
        <is>
          <t>Confidence</t>
        </is>
      </c>
      <c r="B17" s="32" t="inlineStr">
        <is>
          <t>Will email</t>
        </is>
      </c>
      <c r="C17" s="32" t="inlineStr">
        <is>
          <t>Becomes homework</t>
        </is>
      </c>
    </row>
    <row r="18">
      <c r="A18" s="32" t="inlineStr">
        <is>
          <t>Confidence</t>
        </is>
      </c>
      <c r="B18" s="32" t="inlineStr">
        <is>
          <t>Not now</t>
        </is>
      </c>
      <c r="C18" s="32" t="inlineStr">
        <is>
          <t>Parked, stays on the revisit list</t>
        </is>
      </c>
    </row>
    <row r="19">
      <c r="A19" s="32" t="inlineStr">
        <is>
          <t>Confidence</t>
        </is>
      </c>
      <c r="B19" s="32" t="inlineStr">
        <is>
          <t>Not for me</t>
        </is>
      </c>
      <c r="C19" s="32" t="inlineStr">
        <is>
          <t>Counts as done</t>
        </is>
      </c>
    </row>
    <row r="20">
      <c r="A20" s="32" t="inlineStr">
        <is>
          <t>Confidence</t>
        </is>
      </c>
      <c r="B20" s="32" t="inlineStr">
        <is>
          <t>Computed</t>
        </is>
      </c>
      <c r="C20" s="32" t="inlineStr">
        <is>
          <t>Inputs linked</t>
        </is>
      </c>
    </row>
    <row r="21">
      <c r="A21" s="32" t="inlineStr">
        <is>
          <t>Who supplies</t>
        </is>
      </c>
      <c r="B21" s="32" t="inlineStr">
        <is>
          <t>Client</t>
        </is>
      </c>
      <c r="C21" s="32" t="inlineStr">
        <is>
          <t>Only the client can give it</t>
        </is>
      </c>
    </row>
    <row r="22">
      <c r="A22" s="32" t="inlineStr">
        <is>
          <t>Who supplies</t>
        </is>
      </c>
      <c r="B22" s="32" t="inlineStr">
        <is>
          <t>Coach infers</t>
        </is>
      </c>
      <c r="C22" s="32" t="inlineStr">
        <is>
          <t>You can work it out from other answers</t>
        </is>
      </c>
    </row>
    <row r="23">
      <c r="A23" s="32" t="inlineStr">
        <is>
          <t>Who supplies</t>
        </is>
      </c>
      <c r="B23" s="32" t="inlineStr">
        <is>
          <t>Coach guesstimate</t>
        </is>
      </c>
      <c r="C23" s="32" t="inlineStr">
        <is>
          <t>Default or typical value you set</t>
        </is>
      </c>
    </row>
    <row r="24">
      <c r="A24" s="32" t="inlineStr">
        <is>
          <t>Who supplies</t>
        </is>
      </c>
      <c r="B24" s="32" t="inlineStr">
        <is>
          <t>Look up</t>
        </is>
      </c>
      <c r="C24" s="32" t="inlineStr">
        <is>
          <t>Statement, paystub, website</t>
        </is>
      </c>
    </row>
    <row r="25">
      <c r="A25" s="32" t="inlineStr">
        <is>
          <t>Who supplies</t>
        </is>
      </c>
      <c r="B25" s="32" t="inlineStr">
        <is>
          <t>Computed</t>
        </is>
      </c>
      <c r="C25" s="32" t="inlineStr">
        <is>
          <t>App calculates</t>
        </is>
      </c>
    </row>
    <row r="26">
      <c r="A26" s="32" t="inlineStr">
        <is>
          <t>Weight</t>
        </is>
      </c>
      <c r="B26" s="32" t="inlineStr">
        <is>
          <t>High / Medium / Low</t>
        </is>
      </c>
      <c r="C26" s="32" t="inlineStr">
        <is>
          <t>How much it moves FI date and the core metrics (orders the next 3)</t>
        </is>
      </c>
    </row>
    <row r="27">
      <c r="A27" s="32" t="inlineStr">
        <is>
          <t>Stress</t>
        </is>
      </c>
      <c r="B27" s="32" t="inlineStr">
        <is>
          <t>Yes</t>
        </is>
      </c>
      <c r="C27" s="32" t="inlineStr">
        <is>
          <t>Row gets a 1 to 5 stress rating</t>
        </is>
      </c>
    </row>
    <row r="28">
      <c r="A28" s="32" t="inlineStr">
        <is>
          <t>Scope</t>
        </is>
      </c>
      <c r="B28" s="32" t="inlineStr">
        <is>
          <t>Now / Later / Parked</t>
        </is>
      </c>
      <c r="C28" s="32" t="inlineStr">
        <is>
          <t>Is it in the current build</t>
        </is>
      </c>
    </row>
    <row r="29">
      <c r="A29" s="32" t="inlineStr">
        <is>
          <t>Build status</t>
        </is>
      </c>
      <c r="B29" s="32" t="inlineStr">
        <is>
          <t>Not started / Spec'd / Built / Tested</t>
        </is>
      </c>
      <c r="C29" s="32" t="inlineStr">
        <is>
          <t>Where it stands in SLAM</t>
        </is>
      </c>
    </row>
  </sheetData>
  <autoFilter ref="A2:C29"/>
  <mergeCells count="1">
    <mergeCell ref="A1:C1"/>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37"/>
  <sheetViews>
    <sheetView workbookViewId="0">
      <selection activeCell="A1" sqref="A1"/>
    </sheetView>
  </sheetViews>
  <sheetFormatPr baseColWidth="8" defaultRowHeight="15"/>
  <cols>
    <col width="44" customWidth="1" min="1" max="1"/>
    <col width="18" customWidth="1" min="2" max="2"/>
  </cols>
  <sheetData>
    <row r="1">
      <c r="A1" s="1" t="inlineStr">
        <is>
          <t>Demo client (made up, safe for the public repo)</t>
        </is>
      </c>
      <c r="B1" s="2" t="n"/>
      <c r="C1" s="2" t="n"/>
    </row>
    <row r="3">
      <c r="A3" s="33" t="inlineStr">
        <is>
          <t>Age</t>
        </is>
      </c>
      <c r="B3" s="34" t="n">
        <v>29</v>
      </c>
    </row>
    <row r="4">
      <c r="A4" s="33" t="inlineStr">
        <is>
          <t>Monthly take-home</t>
        </is>
      </c>
      <c r="B4" s="35" t="n">
        <v>4800</v>
      </c>
    </row>
    <row r="5">
      <c r="A5" s="33" t="inlineStr">
        <is>
          <t>Monthly spending, all in</t>
        </is>
      </c>
      <c r="B5" s="35" t="n">
        <v>3600</v>
      </c>
    </row>
    <row r="6">
      <c r="A6" s="33" t="inlineStr">
        <is>
          <t>Rent (my share)</t>
        </is>
      </c>
      <c r="B6" s="35" t="n">
        <v>1650</v>
      </c>
    </row>
    <row r="7">
      <c r="A7" s="33" t="inlineStr">
        <is>
          <t>Utilities</t>
        </is>
      </c>
      <c r="B7" s="35" t="n">
        <v>120</v>
      </c>
    </row>
    <row r="8">
      <c r="A8" s="33" t="inlineStr">
        <is>
          <t>Cash savings</t>
        </is>
      </c>
      <c r="B8" s="35" t="n">
        <v>6000</v>
      </c>
    </row>
    <row r="9">
      <c r="A9" s="33" t="inlineStr">
        <is>
          <t>Invested (all accounts)</t>
        </is>
      </c>
      <c r="B9" s="35" t="n">
        <v>22000</v>
      </c>
    </row>
    <row r="10">
      <c r="A10" s="33" t="inlineStr">
        <is>
          <t>Car value</t>
        </is>
      </c>
      <c r="B10" s="35" t="n">
        <v>9500</v>
      </c>
    </row>
    <row r="11">
      <c r="A11" s="33" t="inlineStr">
        <is>
          <t>Car loan balance</t>
        </is>
      </c>
      <c r="B11" s="35" t="n">
        <v>7000</v>
      </c>
    </row>
    <row r="12">
      <c r="A12" s="33" t="inlineStr">
        <is>
          <t>Car loan APR</t>
        </is>
      </c>
      <c r="B12" s="36" t="n">
        <v>0.07140000000000001</v>
      </c>
    </row>
    <row r="13">
      <c r="A13" s="33" t="inlineStr">
        <is>
          <t>Car loan payment / mo</t>
        </is>
      </c>
      <c r="B13" s="35" t="n">
        <v>320</v>
      </c>
    </row>
    <row r="14">
      <c r="A14" s="33" t="inlineStr">
        <is>
          <t>Student loan balance</t>
        </is>
      </c>
      <c r="B14" s="35" t="n">
        <v>18000</v>
      </c>
    </row>
    <row r="15">
      <c r="A15" s="33" t="inlineStr">
        <is>
          <t>Student loan APR</t>
        </is>
      </c>
      <c r="B15" s="36" t="n">
        <v>0.055</v>
      </c>
    </row>
    <row r="16">
      <c r="A16" s="33" t="inlineStr">
        <is>
          <t>Student loan payment / mo</t>
        </is>
      </c>
      <c r="B16" s="35" t="n">
        <v>210</v>
      </c>
    </row>
    <row r="17">
      <c r="A17" s="33" t="inlineStr">
        <is>
          <t>Credit card balance</t>
        </is>
      </c>
      <c r="B17" s="35" t="n">
        <v>4200</v>
      </c>
    </row>
    <row r="18">
      <c r="A18" s="33" t="inlineStr">
        <is>
          <t>Credit card APR</t>
        </is>
      </c>
      <c r="B18" s="36" t="n">
        <v>0.2215</v>
      </c>
    </row>
    <row r="19">
      <c r="A19" s="33" t="inlineStr">
        <is>
          <t>Credit card payment / mo</t>
        </is>
      </c>
      <c r="B19" s="35" t="n">
        <v>250</v>
      </c>
    </row>
    <row r="20">
      <c r="A20" s="33" t="inlineStr">
        <is>
          <t>Return (after inflation)</t>
        </is>
      </c>
      <c r="B20" s="36" t="n">
        <v>0.07000000000000001</v>
      </c>
    </row>
    <row r="21">
      <c r="A21" s="33" t="inlineStr">
        <is>
          <t>Withdrawal rate</t>
        </is>
      </c>
      <c r="B21" s="36" t="n">
        <v>0.04</v>
      </c>
    </row>
    <row r="23">
      <c r="A23" s="12" t="inlineStr">
        <is>
          <t>EXPECTED OUTPUTS</t>
        </is>
      </c>
    </row>
    <row r="24">
      <c r="A24" s="33" t="inlineStr">
        <is>
          <t>Total net worth (M40)</t>
        </is>
      </c>
      <c r="B24" s="37">
        <f>B8+B9+B10-B11-B14-B17</f>
        <v/>
      </c>
    </row>
    <row r="25">
      <c r="A25" s="33" t="inlineStr">
        <is>
          <t>Liquid cash runway, months (M42)</t>
        </is>
      </c>
      <c r="B25" s="46">
        <f>B8/B5</f>
        <v/>
      </c>
    </row>
    <row r="26">
      <c r="A26" s="33" t="inlineStr">
        <is>
          <t>Monthly surplus (M27)</t>
        </is>
      </c>
      <c r="B26" s="37">
        <f>B4-B5</f>
        <v/>
      </c>
    </row>
    <row r="27">
      <c r="A27" s="33" t="inlineStr">
        <is>
          <t>Savings rate (M28)</t>
        </is>
      </c>
      <c r="B27" s="47">
        <f>(B4-B5)/B4</f>
        <v/>
      </c>
    </row>
    <row r="28">
      <c r="A28" s="33" t="inlineStr">
        <is>
          <t>Housing % of take-home (M2A)</t>
        </is>
      </c>
      <c r="B28" s="47">
        <f>(B6+B7)/B4</f>
        <v/>
      </c>
    </row>
    <row r="29">
      <c r="A29" s="33" t="inlineStr">
        <is>
          <t>Credit card payoff months (M31)</t>
        </is>
      </c>
      <c r="B29" s="40">
        <f>ROUNDUP(NPER(B18/12,-B19,B17),0)</f>
        <v/>
      </c>
    </row>
    <row r="30">
      <c r="A30" s="33" t="inlineStr">
        <is>
          <t>Credit card total interest (M32)</t>
        </is>
      </c>
      <c r="B30" s="37">
        <f>NPER(B18/12,-B19,B17)*B19-B17</f>
        <v/>
      </c>
    </row>
    <row r="31">
      <c r="A31" s="33" t="inlineStr">
        <is>
          <t>Student loan payoff months (M31)</t>
        </is>
      </c>
      <c r="B31" s="40">
        <f>ROUNDUP(NPER(B15/12,-B16,B14),0)</f>
        <v/>
      </c>
    </row>
    <row r="32">
      <c r="A32" s="33" t="inlineStr">
        <is>
          <t>Car loan payoff months (M31)</t>
        </is>
      </c>
      <c r="B32" s="40">
        <f>ROUNDUP(NPER(B12/12,-B13,B11),0)</f>
        <v/>
      </c>
    </row>
    <row r="33">
      <c r="A33" s="33" t="inlineStr">
        <is>
          <t>Rule of 5 target $ (M43)</t>
        </is>
      </c>
      <c r="B33" s="37">
        <f>B3/5*B5</f>
        <v/>
      </c>
    </row>
    <row r="34">
      <c r="A34" s="33" t="inlineStr">
        <is>
          <t>Rule of 5 keep-pace add / mo (M43)</t>
        </is>
      </c>
      <c r="B34" s="37">
        <f>B5/60</f>
        <v/>
      </c>
    </row>
    <row r="35">
      <c r="A35" s="33" t="inlineStr">
        <is>
          <t>FI number (M50)</t>
        </is>
      </c>
      <c r="B35" s="37">
        <f>B5*12/B21</f>
        <v/>
      </c>
    </row>
    <row r="36">
      <c r="A36" s="33" t="inlineStr">
        <is>
          <t>Months to FI, surplus fully invested (M53)</t>
        </is>
      </c>
      <c r="B36" s="40">
        <f>ROUNDUP(NPER((1+B20)^(1/12)-1,-(B4-B5),-B9,B5*12/B21),0)</f>
        <v/>
      </c>
    </row>
    <row r="37">
      <c r="A37" s="33" t="inlineStr">
        <is>
          <t>Coast FI number today, retire at 60 (M54)</t>
        </is>
      </c>
      <c r="B37" s="37">
        <f>B5*12/B21/(1+B20)^(60-B3)</f>
        <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11"/>
  <sheetViews>
    <sheetView workbookViewId="0">
      <pane ySplit="2" topLeftCell="A3" activePane="bottomLeft" state="frozen"/>
      <selection pane="bottomLeft" activeCell="A1" sqref="A1"/>
    </sheetView>
  </sheetViews>
  <sheetFormatPr baseColWidth="8" defaultRowHeight="15"/>
  <cols>
    <col width="5" customWidth="1" min="1" max="1"/>
    <col width="90" customWidth="1" min="2" max="2"/>
    <col width="60" customWidth="1" min="3" max="3"/>
  </cols>
  <sheetData>
    <row r="1">
      <c r="A1" s="1" t="inlineStr">
        <is>
          <t>Still to decide</t>
        </is>
      </c>
      <c r="B1" s="2" t="n"/>
      <c r="C1" s="2" t="n"/>
    </row>
    <row r="2">
      <c r="A2" s="3" t="inlineStr">
        <is>
          <t>#</t>
        </is>
      </c>
      <c r="B2" s="3" t="inlineStr">
        <is>
          <t>Question</t>
        </is>
      </c>
      <c r="C2" s="3" t="inlineStr">
        <is>
          <t>Your answer</t>
        </is>
      </c>
    </row>
    <row r="3">
      <c r="A3" s="4" t="n">
        <v>1</v>
      </c>
      <c r="B3" s="4" t="inlineStr">
        <is>
          <t>Return presets before or after inflation?</t>
        </is>
      </c>
      <c r="C3" s="4" t="inlineStr">
        <is>
          <t>After inflation. 12% is the hopeful no-inflation case (Oct 28)</t>
        </is>
      </c>
    </row>
    <row r="4">
      <c r="A4" s="4" t="n">
        <v>2</v>
      </c>
      <c r="B4" s="4" t="inlineStr">
        <is>
          <t>Guess vs Roughly: keep both or merge?</t>
        </is>
      </c>
      <c r="C4" s="4" t="inlineStr">
        <is>
          <t>Keep both (Oct 28)</t>
        </is>
      </c>
    </row>
    <row r="5">
      <c r="A5" s="4" t="n">
        <v>3</v>
      </c>
      <c r="B5" s="4" t="inlineStr">
        <is>
          <t>Budget grouping: DRAFTT letters or plain categories with a tag?</t>
        </is>
      </c>
      <c r="C5" s="4" t="inlineStr">
        <is>
          <t>Plain categories with a DRAFTT tag, so degradation can be measured (Oct 28)</t>
        </is>
      </c>
    </row>
    <row r="6">
      <c r="A6" s="4" t="n">
        <v>4</v>
      </c>
      <c r="B6" s="4" t="inlineStr">
        <is>
          <t>Main tab names</t>
        </is>
      </c>
      <c r="C6" s="4" t="inlineStr">
        <is>
          <t>Renamed: Home, My Money, Spending, Plan, Report (Oct 28). Change here if you prefer other words</t>
        </is>
      </c>
    </row>
    <row r="7">
      <c r="A7" s="4" t="n">
        <v>5</v>
      </c>
      <c r="B7" s="4" t="inlineStr">
        <is>
          <t>Statement upload format</t>
        </is>
      </c>
      <c r="C7" s="4" t="inlineStr">
        <is>
          <t>Both CSV and PDF (phase 4) (Oct 28)</t>
        </is>
      </c>
    </row>
    <row r="8">
      <c r="A8" s="4" t="n">
        <v>6</v>
      </c>
      <c r="B8" s="4" t="inlineStr">
        <is>
          <t>Test client: monthly take-home for the new job and all-in monthly spending (two yellow cells in the private file)</t>
        </is>
      </c>
      <c r="C8" s="8" t="inlineStr"/>
    </row>
    <row r="9">
      <c r="A9" s="4" t="n">
        <v>7</v>
      </c>
      <c r="B9" s="4" t="inlineStr">
        <is>
          <t>Test client: are the $20,000 student loan and credit card real?</t>
        </is>
      </c>
      <c r="C9" s="4" t="inlineStr">
        <is>
          <t>Roughly (Oct 28)</t>
        </is>
      </c>
    </row>
    <row r="10">
      <c r="A10" s="4" t="n">
        <v>8</v>
      </c>
      <c r="B10" s="4" t="inlineStr">
        <is>
          <t>Rule of 5 keep-pace add = monthly spending / 60?</t>
        </is>
      </c>
      <c r="C10" s="4" t="inlineStr">
        <is>
          <t>Yes (Oct 28)</t>
        </is>
      </c>
    </row>
    <row r="11">
      <c r="A11" s="4" t="n">
        <v>9</v>
      </c>
      <c r="B11" s="4" t="inlineStr">
        <is>
          <t>Typical rates from the Federal Reserve?</t>
        </is>
      </c>
      <c r="C11" s="4" t="inlineStr">
        <is>
          <t>Yes; G.19 Q2 2026 used (Oct 28)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2026-10-29T03:02:38Z</dcterms:created>
  <dcterms:modified xmlns:dcterms="http://purl.org/dc/terms/" xmlns:xsi="http://www.w3.org/2001/XMLSchema-instance" xsi:type="dcterms:W3CDTF">2026-10-29T03:02:42Z</dcterms:modified>
</cp:coreProperties>
</file>